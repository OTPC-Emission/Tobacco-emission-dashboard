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7eabb438684e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2568-2569" sheetId="1" r:id="R94a0982b10ab426e"/>
    <x:sheet xmlns:r="http://schemas.openxmlformats.org/officeDocument/2006/relationships" name="วิเคราะห์เทียบเกณฑ์" sheetId="2" r:id="R0668c28a9ba047cd"/>
    <x:sheet xmlns:r="http://schemas.openxmlformats.org/officeDocument/2006/relationships" name="รายการเกินเกณฑ์" sheetId="3" r:id="R7d2127cbfd6d4133"/>
    <x:sheet xmlns:r="http://schemas.openxmlformats.org/officeDocument/2006/relationships" name="สรุปผู้บริหาร" sheetId="4" r:id="R0ae0297ca9b94edb"/>
  </x:sheets>
</x:workbook>
</file>

<file path=xl/sharedStrings.xml><?xml version="1.0" encoding="utf-8"?>
<x:sst xmlns:x="http://schemas.openxmlformats.org/spreadsheetml/2006/main">
  <x:si>
    <x:t xml:space="preserve">Company_ID</x:t>
  </x:si>
  <x:si>
    <x:t xml:space="preserve">Product_Type</x:t>
  </x:si>
  <x:si>
    <x:t xml:space="preserve">ปีที่รับแจ้ง</x:t>
  </x:si>
  <x:si>
    <x:t xml:space="preserve">Tar</x:t>
  </x:si>
  <x:si>
    <x:t xml:space="preserve">Nicotine</x:t>
  </x:si>
  <x:si>
    <x:t xml:space="preserve">CO</x:t>
  </x:si>
  <x:si>
    <x:t xml:space="preserve">Tar_Limit</x:t>
  </x:si>
  <x:si>
    <x:t xml:space="preserve">Nicotine_Limit</x:t>
  </x:si>
  <x:si>
    <x:t xml:space="preserve">CO_Limit</x:t>
  </x:si>
  <x:si>
    <x:t xml:space="preserve">Cig001</x:t>
  </x:si>
  <x:si>
    <x:t xml:space="preserve">Cigarette</x:t>
  </x:si>
  <x:si>
    <x:t xml:space="preserve">Cig002</x:t>
  </x:si>
  <x:si>
    <x:t xml:space="preserve">Cig003</x:t>
  </x:si>
  <x:si>
    <x:t xml:space="preserve">Cig004</x:t>
  </x:si>
  <x:si>
    <x:t xml:space="preserve">Cig005</x:t>
  </x:si>
  <x:si>
    <x:t xml:space="preserve">Cig006</x:t>
  </x:si>
  <x:si>
    <x:t xml:space="preserve">Cig007</x:t>
  </x:si>
  <x:si>
    <x:t xml:space="preserve">Cig008</x:t>
  </x:si>
  <x:si>
    <x:t xml:space="preserve">Cig009</x:t>
  </x:si>
  <x:si>
    <x:t xml:space="preserve">Cig010</x:t>
  </x:si>
  <x:si>
    <x:t xml:space="preserve">Cig011</x:t>
  </x:si>
  <x:si>
    <x:t xml:space="preserve">Cig012</x:t>
  </x:si>
  <x:si>
    <x:t xml:space="preserve">Cig013</x:t>
  </x:si>
  <x:si>
    <x:t xml:space="preserve">Cig014</x:t>
  </x:si>
  <x:si>
    <x:t xml:space="preserve">Ci001</x:t>
  </x:si>
  <x:si>
    <x:t xml:space="preserve">Cigar</x:t>
  </x:si>
  <x:si>
    <x:t xml:space="preserve">Ci002</x:t>
  </x:si>
  <x:si>
    <x:t xml:space="preserve">Cig015</x:t>
  </x:si>
  <x:si>
    <x:t xml:space="preserve">Cig016</x:t>
  </x:si>
  <x:si>
    <x:t xml:space="preserve">Cig017</x:t>
  </x:si>
  <x:si>
    <x:t xml:space="preserve">Cig018</x:t>
  </x:si>
  <x:si>
    <x:t xml:space="preserve">Cig019</x:t>
  </x:si>
  <x:si>
    <x:t xml:space="preserve">Cig020</x:t>
  </x:si>
  <x:si>
    <x:t xml:space="preserve">Cig021</x:t>
  </x:si>
  <x:si>
    <x:t xml:space="preserve">Cig022</x:t>
  </x:si>
  <x:si>
    <x:t xml:space="preserve">Cig023</x:t>
  </x:si>
  <x:si>
    <x:t xml:space="preserve">Cig024</x:t>
  </x:si>
  <x:si>
    <x:t xml:space="preserve">Cig025</x:t>
  </x:si>
  <x:si>
    <x:t xml:space="preserve">Cig026</x:t>
  </x:si>
  <x:si>
    <x:t xml:space="preserve">Cig027</x:t>
  </x:si>
  <x:si>
    <x:t xml:space="preserve">Cig028</x:t>
  </x:si>
  <x:si>
    <x:t xml:space="preserve">Cig029</x:t>
  </x:si>
  <x:si>
    <x:t xml:space="preserve">Cig030</x:t>
  </x:si>
  <x:si>
    <x:t xml:space="preserve">Cig031</x:t>
  </x:si>
  <x:si>
    <x:t xml:space="preserve">Cig032</x:t>
  </x:si>
</x:sst>
</file>

<file path=xl/styles.xml><?xml version="1.0" encoding="utf-8"?>
<x:styleSheet xmlns:x="http://schemas.openxmlformats.org/spreadsheetml/2006/main">
  <x:numFmts count="1">
    <x:numFmt numFmtId="200" formatCode="0.0%"/>
  </x:numFmts>
  <x:fonts count="12">
    <x:font>
      <x:sz val="11"/>
      <x:color theme="1"/>
      <x:name val="Tahoma"/>
    </x:font>
    <x:font>
      <x:b/>
      <x:sz val="11"/>
      <x:color theme="1"/>
      <x:name val="Tahoma"/>
    </x:font>
    <x:font>
      <x:sz val="8"/>
      <x:name val="Tahoma"/>
    </x:font>
    <x:font>
      <x:b/>
      <x:sz val="11"/>
      <x:color rgb="FFFFFFFF"/>
      <x:name val="Tahoma"/>
    </x:font>
    <x:font>
      <x:b/>
      <x:sz val="16"/>
      <x:color rgb="FFFFFFFF"/>
      <x:name val="Tahoma"/>
    </x:font>
    <x:font>
      <x:sz val="11"/>
      <x:color rgb="FF7F6000"/>
      <x:name val="Tahoma"/>
    </x:font>
    <x:font>
      <x:b/>
      <x:sz val="11"/>
      <x:color rgb="FF17365D"/>
      <x:name val="Tahoma"/>
    </x:font>
    <x:font>
      <x:b/>
      <x:sz val="16"/>
      <x:color rgb="FF9C0006"/>
      <x:name val="Tahoma"/>
    </x:font>
    <x:font>
      <x:b/>
      <x:sz val="11"/>
      <x:color rgb="FF183A61"/>
      <x:name val="Tahoma"/>
    </x:font>
    <x:font>
      <x:b/>
      <x:sz val="14"/>
      <x:color rgb="FFC00000"/>
      <x:name val="Tahoma"/>
    </x:font>
    <x:font>
      <x:b/>
      <x:sz val="16"/>
      <x:color rgb="FFC00000"/>
      <x:name val="Tahoma"/>
    </x:font>
    <x:font>
      <x:i/>
      <x:sz val="11"/>
      <x:color rgb="FF8A4B00"/>
      <x:name val="Tahoma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9C0006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DCEAF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7E6"/>
      </x:patternFill>
    </x:fill>
  </x:fills>
  <x:borders count="20">
    <x:border/>
    <x:border/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47">
    <x:xf numFmtId="0" fontId="0" fillId="0" borderId="0" xfId="0"/>
    <x:xf numFmtId="0" fontId="1" fillId="0" borderId="0" xfId="0" applyFont="1" applyAlignment="1">
      <x:alignment horizontal="center" vertical="center" wrapText="1"/>
    </x:xf>
    <x:xf numFmtId="0" fontId="0" fillId="0" borderId="0" xfId="0" applyAlignment="1">
      <x:alignment horizontal="right" vertical="center" wrapText="1"/>
    </x:xf>
    <x:xf numFmtId="0" fontId="1" fillId="0" borderId="0" xfId="0" applyFont="1" applyAlignment="1">
      <x:alignment horizontal="right" vertical="center" wrapText="1"/>
    </x:xf>
    <x:xf numFmtId="0" fontId="0" fillId="0" borderId="0" xfId="0" applyAlignment="1">
      <x:alignment vertical="center" wrapText="1"/>
    </x:xf>
    <x:xf numFmtId="0" fontId="0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right" vertical="center" wrapText="1"/>
    </x:xf>
    <x:xf numFmtId="0" fontId="1" fillId="0" borderId="1" xfId="0" applyNumberFormat="1" applyFont="1" applyFill="1" applyBorder="1" applyAlignment="1">
      <x:alignment horizontal="right"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3" xfId="0" applyNumberFormat="1" applyFont="1" applyFill="1" applyBorder="1"/>
    <x:xf numFmtId="200" fontId="0" fillId="0" borderId="0" xfId="0" applyNumberFormat="1" applyFont="1" applyFill="1" applyBorder="1"/>
    <x:xf numFmtId="200" fontId="0" fillId="0" borderId="8" xfId="0" applyNumberFormat="1" applyFont="1" applyFill="1" applyBorder="1"/>
    <x:xf numFmtId="200" fontId="0" fillId="0" borderId="11" xfId="0" applyNumberFormat="1" applyFont="1" applyFill="1" applyBorder="1"/>
    <x:xf numFmtId="200" fontId="0" fillId="0" borderId="1" xfId="0" applyNumberFormat="1" applyFont="1" applyFill="1" applyBorder="1"/>
    <x:xf numFmtId="200" fontId="0" fillId="0" borderId="16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horizontal="center"/>
    </x:xf>
    <x:xf numFmtId="0" fontId="6" fillId="5" borderId="18" xfId="0" applyNumberFormat="1" applyFont="1" applyFill="1" applyBorder="1" applyAlignment="1">
      <x:alignment wrapText="1"/>
    </x:xf>
    <x:xf numFmtId="0" fontId="6" fillId="5" borderId="19" xfId="0" applyNumberFormat="1" applyFont="1" applyFill="1" applyBorder="1" applyAlignment="1">
      <x:alignment wrapText="1"/>
    </x:xf>
    <x:xf numFmtId="0" fontId="7" fillId="6" borderId="18" xfId="0" applyNumberFormat="1" applyFont="1" applyFill="1" applyBorder="1" applyAlignment="1">
      <x:alignment horizontal="center"/>
    </x:xf>
    <x:xf numFmtId="0" fontId="7" fillId="6" borderId="19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4" xfId="0" applyNumberFormat="1" applyFont="1" applyFill="1" applyBorder="1" applyAlignment="1">
      <x:alignment horizontal="center"/>
    </x:xf>
    <x:xf numFmtId="0" fontId="3" fillId="2" borderId="10" xfId="0" applyNumberFormat="1" applyFont="1" applyFill="1" applyBorder="1" applyAlignment="1">
      <x:alignment horizontal="center"/>
    </x:xf>
    <x:xf numFmtId="0" fontId="3" fillId="2" borderId="11" xfId="0" applyNumberFormat="1" applyFont="1" applyFill="1" applyBorder="1" applyAlignment="1">
      <x:alignment horizontal="center"/>
    </x:xf>
    <x:xf numFmtId="0" fontId="3" fillId="2" borderId="12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/>
    </x:xf>
    <x:xf numFmtId="0" fontId="3" fillId="3" borderId="3" xfId="0" applyNumberFormat="1" applyFont="1" applyFill="1" applyBorder="1" applyAlignment="1">
      <x:alignment horizontal="center"/>
    </x:xf>
    <x:xf numFmtId="0" fontId="3" fillId="3" borderId="4" xfId="0" applyNumberFormat="1" applyFont="1" applyFill="1" applyBorder="1" applyAlignment="1">
      <x:alignment horizontal="center"/>
    </x:xf>
    <x:xf numFmtId="200" fontId="0" fillId="0" borderId="6" xfId="0" applyNumberFormat="1" applyFont="1" applyFill="1" applyBorder="1"/>
    <x:xf numFmtId="200" fontId="0" fillId="0" borderId="9" xfId="0" applyNumberFormat="1" applyFont="1" applyFill="1" applyBorder="1"/>
    <x:xf numFmtId="0" fontId="1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0" fontId="7" fillId="6" borderId="18" xfId="0" applyNumberFormat="1" applyFont="1" applyFill="1" applyBorder="1" applyAlignment="1">
      <x:alignment horizontal="center"/>
    </x:xf>
    <x:xf numFmtId="0" fontId="6" fillId="7" borderId="18" xfId="0" applyNumberFormat="1" applyFont="1" applyFill="1" applyBorder="1" applyAlignment="1">
      <x:alignment wrapText="1"/>
    </x:xf>
    <x:xf numFmtId="0" fontId="8" fillId="7" borderId="18" xfId="0" applyNumberFormat="1" applyFont="1" applyFill="1" applyBorder="1" applyAlignment="1">
      <x:alignment wrapText="1"/>
    </x:xf>
    <x:xf numFmtId="0" fontId="8" fillId="7" borderId="18" xfId="0" applyNumberFormat="1" applyFont="1" applyFill="1" applyBorder="1" applyAlignment="1">
      <x:alignment vertical="center" wrapText="1"/>
    </x:xf>
    <x:xf numFmtId="0" fontId="7" fillId="8" borderId="18" xfId="0" applyNumberFormat="1" applyFont="1" applyFill="1" applyBorder="1" applyAlignment="1">
      <x:alignment horizontal="center"/>
    </x:xf>
    <x:xf numFmtId="0" fontId="9" fillId="8" borderId="18" xfId="0" applyNumberFormat="1" applyFont="1" applyFill="1" applyBorder="1" applyAlignment="1">
      <x:alignment horizontal="center"/>
    </x:xf>
    <x:xf numFmtId="0" fontId="9" fillId="8" borderId="18" xfId="0" applyNumberFormat="1" applyFont="1" applyFill="1" applyBorder="1" applyAlignment="1">
      <x:alignment horizontal="center" vertical="center"/>
    </x:xf>
    <x:xf numFmtId="200" fontId="7" fillId="8" borderId="18" xfId="0" applyNumberFormat="1" applyFont="1" applyFill="1" applyBorder="1" applyAlignment="1">
      <x:alignment horizontal="center"/>
    </x:xf>
    <x:xf numFmtId="200" fontId="9" fillId="8" borderId="18" xfId="0" applyNumberFormat="1" applyFont="1" applyFill="1" applyBorder="1" applyAlignment="1">
      <x:alignment horizontal="center"/>
    </x:xf>
    <x:xf numFmtId="200" fontId="9" fillId="8" borderId="18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/>
    </x:xf>
    <x:xf numFmtId="0" fontId="9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vertical="center" wrapText="1"/>
    </x:xf>
    <x:xf numFmtId="0" fontId="8" fillId="9" borderId="18" xfId="0" applyNumberFormat="1" applyFont="1" applyFill="1" applyBorder="1" applyAlignment="1">
      <x:alignment vertical="center" wrapText="1"/>
    </x:xf>
    <x:xf numFmtId="0" fontId="9" fillId="9" borderId="18" xfId="0" applyNumberFormat="1" applyFont="1" applyFill="1" applyBorder="1" applyAlignment="1">
      <x:alignment horizontal="center" vertical="center"/>
    </x:xf>
    <x:xf numFmtId="0" fontId="10" fillId="9" borderId="18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9" fillId="8" borderId="18" xfId="0" applyNumberFormat="1" applyFont="1" applyFill="1" applyBorder="1" applyAlignment="1">
      <x:alignment horizontal="center" vertical="center" wrapText="1"/>
    </x:xf>
    <x:xf numFmtId="0" fontId="10" fillId="9" borderId="18" xfId="0" applyNumberFormat="1" applyFont="1" applyFill="1" applyBorder="1" applyAlignment="1">
      <x:alignment horizontal="center" vertical="center" wrapText="1"/>
    </x:xf>
    <x:xf numFmtId="200" fontId="9" fillId="8" borderId="18" xfId="0" applyNumberFormat="1" applyFont="1" applyFill="1" applyBorder="1" applyAlignment="1">
      <x:alignment horizontal="center" vertical="center" wrapText="1"/>
    </x:xf>
    <x:xf numFmtId="0" fontId="9" fillId="8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horizontal="center" wrapText="1"/>
    </x:xf>
    <x:xf numFmtId="0" fontId="3" fillId="3" borderId="3" xfId="0" applyNumberFormat="1" applyFont="1" applyFill="1" applyBorder="1" applyAlignment="1">
      <x:alignment horizontal="center" wrapText="1"/>
    </x:xf>
    <x:xf numFmtId="0" fontId="3" fillId="3" borderId="4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0" fontId="11" fillId="10" borderId="0" xfId="0" applyNumberFormat="1" applyFont="1" applyFill="1" applyBorder="1" applyAlignment="1">
      <x:alignment wrapText="1"/>
    </x:xf>
    <x:xf numFmtId="0" fontId="11" fillId="10" borderId="0" xfId="0" applyNumberFormat="1" applyFont="1" applyFill="1" applyBorder="1" applyAlignment="1">
      <x:alignment horizontal="left" wrapText="1"/>
    </x:xf>
    <x:xf numFmtId="0" fontId="11" fillId="10" borderId="0" xfId="0" applyNumberFormat="1" applyFont="1" applyFill="1" applyBorder="1" applyAlignment="1">
      <x:alignment horizontal="left" vertical="center" wrapText="1"/>
    </x:xf>
  </x:cellXfs>
  <x:cellStyles count="1">
    <x:cellStyle name="ปกติ" xfId="0"/>
  </x:cellStyles>
  <x:dxfs count="14">
    <x:dxf>
      <x:font>
        <x:b/>
        <x:color rgb="FFB42318"/>
      </x:font>
      <x:fill>
        <x:patternFill>
          <x:bgColor rgb="FFFDE9E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b/>
        <x:color rgb="FFB42318"/>
      </x:font>
      <x:fill>
        <x:patternFill>
          <x:bgColor rgb="FFFDE9E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b/>
        <x:color rgb="FFB42318"/>
      </x:font>
      <x:fill>
        <x:patternFill>
          <x:bgColor rgb="FFFDE9E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b/>
        <x:color rgb="FFB42318"/>
      </x:font>
      <x:fill>
        <x:patternFill>
          <x:bgColor rgb="FFFDE9E7"/>
        </x:patternFill>
      </x:fill>
    </x:dxf>
    <x:dxf>
      <x:font>
        <x:b/>
        <x:color rgb="FFB42318"/>
      </x:font>
      <x:fill>
        <x:patternFill>
          <x:bgColor rgb="FFFDE9E7"/>
        </x:patternFill>
      </x:fill>
    </x:dxf>
    <x:dxf>
      <x:font>
        <x:b/>
        <x:color rgb="FFFFFFFF"/>
      </x:font>
      <x:fill>
        <x:patternFill>
          <x:bgColor rgb="FFC00000"/>
        </x:patternFill>
      </x:fill>
    </x:dxf>
    <x:dxf>
      <x:font>
        <x:b/>
        <x:color rgb="FF9C0006"/>
      </x:font>
      <x:fill>
        <x:patternFill>
          <x:bgColor rgb="FFF4B18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67abdbeec4474c" /><Relationship Type="http://schemas.openxmlformats.org/officeDocument/2006/relationships/theme" Target="/xl/theme/theme1.xml" Id="R97c571aa953240d8" /><Relationship Type="http://schemas.openxmlformats.org/officeDocument/2006/relationships/sharedStrings" Target="/xl/sharedStrings.xml" Id="Ra6c9f88e8f864b46" /><Relationship Type="http://schemas.openxmlformats.org/officeDocument/2006/relationships/worksheet" Target="/xl/worksheets/sheet1.xml" Id="R94a0982b10ab426e" /><Relationship Type="http://schemas.openxmlformats.org/officeDocument/2006/relationships/worksheet" Target="/xl/worksheets/sheet2.xml" Id="R0668c28a9ba047cd" /><Relationship Type="http://schemas.openxmlformats.org/officeDocument/2006/relationships/worksheet" Target="/xl/worksheets/sheet3.xml" Id="R7d2127cbfd6d4133" /><Relationship Type="http://schemas.openxmlformats.org/officeDocument/2006/relationships/worksheet" Target="/xl/worksheets/sheet4.xml" Id="R0ae0297ca9b94ed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bb8ec5dba324bf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จำนวนรายการและรายการที่สูงกว่าเกณฑ์ จำแนกตามปีและสาร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จำนวนรายการ</c:v>
          </c:tx>
          <c:cat>
            <c:strRef>
              <c:f>'สรุปผู้บริหาร'!$A$11:$A$12</c:f>
              <c:strCache>
                <c:ptCount val="0"/>
              </c:strCache>
            </c:strRef>
          </c:cat>
          <c:val>
            <c:numRef>
              <c:f>'สรุปผู้บริหาร'!$B$11:$B$12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เกิน ≥1 สาร</c:v>
          </c:tx>
          <c:cat>
            <c:strRef>
              <c:f>'สรุปผู้บริหาร'!$A$11:$A$12</c:f>
              <c:strCache>
                <c:ptCount val="0"/>
              </c:strCache>
            </c:strRef>
          </c:cat>
          <c:val>
            <c:numRef>
              <c:f>'สรุปผู้บริหาร'!$C$11:$C$12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Tar เกิน</c:v>
          </c:tx>
          <c:cat>
            <c:strRef>
              <c:f>'สรุปผู้บริหาร'!$A$11:$A$12</c:f>
              <c:strCache>
                <c:ptCount val="0"/>
              </c:strCache>
            </c:strRef>
          </c:cat>
          <c:val>
            <c:numRef>
              <c:f>'สรุปผู้บริหาร'!$D$11:$D$12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Nicotine เกิน</c:v>
          </c:tx>
          <c:cat>
            <c:strRef>
              <c:f>'สรุปผู้บริหาร'!$A$11:$A$12</c:f>
              <c:strCache>
                <c:ptCount val="0"/>
              </c:strCache>
            </c:strRef>
          </c:cat>
          <c:val>
            <c:numRef>
              <c:f>'สรุปผู้บริหาร'!$E$11:$E$12</c:f>
              <c:numCache>
                <c:formatCode>General</c:formatCode>
                <c:ptCount val="0"/>
              </c:numCache>
            </c:numRef>
          </c:val>
        </c:ser>
        <c:ser>
          <c:idx val="4"/>
          <c:order val="4"/>
          <c:tx>
            <c:v>CO เกิน</c:v>
          </c:tx>
          <c:cat>
            <c:strRef>
              <c:f>'สรุปผู้บริหาร'!$A$11:$A$12</c:f>
              <c:strCache>
                <c:ptCount val="0"/>
              </c:strCache>
            </c:strRef>
          </c:cat>
          <c:val>
            <c:numRef>
              <c:f>'สรุปผู้บริหาร'!$F$11:$F$12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15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b8ec5dba324bf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nalysisTable" displayName="AnalysisTable" ref="A1:R49" headerRowCount="1" totalsRowCount="0" totalsRowShown="0">
  <x:tableColumns count="18">
    <x:tableColumn id="1" name="Product_ID"/>
    <x:tableColumn id="2" name="Product_Type"/>
    <x:tableColumn id="3" name="ปีที่รับแจ้ง"/>
    <x:tableColumn id="4" name="Tar"/>
    <x:tableColumn id="5" name="Nicotine"/>
    <x:tableColumn id="6" name="CO"/>
    <x:tableColumn id="7" name="Tar_Limit"/>
    <x:tableColumn id="8" name="Nicotine_Limit"/>
    <x:tableColumn id="9" name="CO_Limit"/>
    <x:tableColumn id="10" name="Tar_%เกณฑ์"/>
    <x:tableColumn id="11" name="Nicotine_%เกณฑ์"/>
    <x:tableColumn id="12" name="CO_%เกณฑ์"/>
    <x:tableColumn id="13" name="ผล Tar"/>
    <x:tableColumn id="14" name="ผล Nicotine"/>
    <x:tableColumn id="15" name="ผล CO"/>
    <x:tableColumn id="16" name="จำนวนสารที่เกินเกณฑ์"/>
    <x:tableColumn id="17" name="ค่าสูงสุดเทียบเกณฑ์"/>
    <x:tableColumn id="18" name="สถานะรวม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ceedTable" displayName="ExceedTable" ref="A1:M26" headerRowCount="1" totalsRowCount="0" totalsRowShown="0">
  <x:tableColumns count="13">
    <x:tableColumn id="1" name="ลำดับ"/>
    <x:tableColumn id="2" name="Product_ID"/>
    <x:tableColumn id="3" name="ประเภท"/>
    <x:tableColumn id="4" name="ปี"/>
    <x:tableColumn id="5" name="Tar"/>
    <x:tableColumn id="6" name="Tar_%เกณฑ์"/>
    <x:tableColumn id="7" name="Nicotine"/>
    <x:tableColumn id="8" name="Nicotine_%เกณฑ์"/>
    <x:tableColumn id="9" name="CO"/>
    <x:tableColumn id="10" name="CO_%เกณฑ์"/>
    <x:tableColumn id="11" name="จำนวนสารเกิน"/>
    <x:tableColumn id="12" name="ค่าสูงสุดเทียบเกณฑ์"/>
    <x:tableColumn id="13" name="ระดับความสำคัญ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81dc446833145e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d63238c9e61456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f4190d661ccb4136" /></Relationships>
</file>

<file path=xl/worksheets/sheet1.xml><?xml version="1.0" encoding="utf-8"?>
<x:worksheet xmlns:x="http://schemas.openxmlformats.org/spreadsheetml/2006/main">
  <x:sheetFormatPr defaultRowHeight="14.25"/>
  <x:cols>
    <x:col min="1" max="9" width="15.625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</x:row>
    <x:row r="2">
      <x:c r="A2" s="4" t="s">
        <x:v>9</x:v>
      </x:c>
      <x:c r="B2" s="4" t="s">
        <x:v>10</x:v>
      </x:c>
      <x:c r="C2" s="4">
        <x:v>2568</x:v>
      </x:c>
      <x:c r="D2" s="2">
        <x:v>9.8000000000000007</x:v>
      </x:c>
      <x:c r="E2" s="2">
        <x:v>0.93</x:v>
      </x:c>
      <x:c r="F2" s="2">
        <x:v>8.8000000000000007</x:v>
      </x:c>
      <x:c r="G2" s="2">
        <x:v>10</x:v>
      </x:c>
      <x:c r="H2" s="2">
        <x:v>1</x:v>
      </x:c>
      <x:c r="I2" s="2">
        <x:v>10</x:v>
      </x:c>
    </x:row>
    <x:row r="3">
      <x:c r="A3" s="4" t="s">
        <x:v>11</x:v>
      </x:c>
      <x:c r="B3" s="4" t="s">
        <x:v>10</x:v>
      </x:c>
      <x:c r="C3" s="4">
        <x:v>2568</x:v>
      </x:c>
      <x:c r="D3" s="2">
        <x:v>6.8</x:v>
      </x:c>
      <x:c r="E3" s="2">
        <x:v>0.69</x:v>
      </x:c>
      <x:c r="F3" s="2">
        <x:v>4.4000000000000004</x:v>
      </x:c>
      <x:c r="G3" s="2">
        <x:v>10</x:v>
      </x:c>
      <x:c r="H3" s="2">
        <x:v>1</x:v>
      </x:c>
      <x:c r="I3" s="2">
        <x:v>10</x:v>
      </x:c>
    </x:row>
    <x:row r="4">
      <x:c r="A4" s="4" t="s">
        <x:v>12</x:v>
      </x:c>
      <x:c r="B4" s="4" t="s">
        <x:v>10</x:v>
      </x:c>
      <x:c r="C4" s="4">
        <x:v>2568</x:v>
      </x:c>
      <x:c r="D4" s="2">
        <x:v>7.2</x:v>
      </x:c>
      <x:c r="E4" s="2">
        <x:v>0.53</x:v>
      </x:c>
      <x:c r="F4" s="2">
        <x:v>9.4</x:v>
      </x:c>
      <x:c r="G4" s="2">
        <x:v>10</x:v>
      </x:c>
      <x:c r="H4" s="2">
        <x:v>1</x:v>
      </x:c>
      <x:c r="I4" s="2">
        <x:v>10</x:v>
      </x:c>
    </x:row>
    <x:row r="5">
      <x:c r="A5" s="4" t="s">
        <x:v>13</x:v>
      </x:c>
      <x:c r="B5" s="4" t="s">
        <x:v>10</x:v>
      </x:c>
      <x:c r="C5" s="4">
        <x:v>2568</x:v>
      </x:c>
      <x:c r="D5" s="2">
        <x:v>14</x:v>
      </x:c>
      <x:c r="E5" s="2">
        <x:v>0.9</x:v>
      </x:c>
      <x:c r="F5" s="2">
        <x:v>13</x:v>
      </x:c>
      <x:c r="G5" s="2">
        <x:v>10</x:v>
      </x:c>
      <x:c r="H5" s="2">
        <x:v>1</x:v>
      </x:c>
      <x:c r="I5" s="2">
        <x:v>10</x:v>
      </x:c>
    </x:row>
    <x:row r="6">
      <x:c r="A6" s="4" t="s">
        <x:v>14</x:v>
      </x:c>
      <x:c r="B6" s="4" t="s">
        <x:v>10</x:v>
      </x:c>
      <x:c r="C6" s="4">
        <x:v>2568</x:v>
      </x:c>
      <x:c r="D6" s="2">
        <x:v>6.4</x:v>
      </x:c>
      <x:c r="E6" s="2">
        <x:v>0.42</x:v>
      </x:c>
      <x:c r="F6" s="2">
        <x:v>7.3</x:v>
      </x:c>
      <x:c r="G6" s="2">
        <x:v>10</x:v>
      </x:c>
      <x:c r="H6" s="2">
        <x:v>1</x:v>
      </x:c>
      <x:c r="I6" s="2">
        <x:v>10</x:v>
      </x:c>
    </x:row>
    <x:row r="7">
      <x:c r="A7" s="4" t="s">
        <x:v>15</x:v>
      </x:c>
      <x:c r="B7" s="4" t="s">
        <x:v>10</x:v>
      </x:c>
      <x:c r="C7" s="4">
        <x:v>2568</x:v>
      </x:c>
      <x:c r="D7" s="2">
        <x:v>5.8</x:v>
      </x:c>
      <x:c r="E7" s="2">
        <x:v>0.35</x:v>
      </x:c>
      <x:c r="F7" s="2">
        <x:v>6.5</x:v>
      </x:c>
      <x:c r="G7" s="2">
        <x:v>10</x:v>
      </x:c>
      <x:c r="H7" s="2">
        <x:v>1</x:v>
      </x:c>
      <x:c r="I7" s="2">
        <x:v>10</x:v>
      </x:c>
    </x:row>
    <x:row r="8">
      <x:c r="A8" s="4" t="s">
        <x:v>16</x:v>
      </x:c>
      <x:c r="B8" s="4" t="s">
        <x:v>10</x:v>
      </x:c>
      <x:c r="C8" s="4">
        <x:v>2568</x:v>
      </x:c>
      <x:c r="D8" s="2">
        <x:v>7.2</x:v>
      </x:c>
      <x:c r="E8" s="2">
        <x:v>0.53</x:v>
      </x:c>
      <x:c r="F8" s="2">
        <x:v>9.4</x:v>
      </x:c>
      <x:c r="G8" s="2">
        <x:v>10</x:v>
      </x:c>
      <x:c r="H8" s="2">
        <x:v>1</x:v>
      </x:c>
      <x:c r="I8" s="2">
        <x:v>10</x:v>
      </x:c>
    </x:row>
    <x:row r="9">
      <x:c r="A9" s="4" t="s">
        <x:v>17</x:v>
      </x:c>
      <x:c r="B9" s="4" t="s">
        <x:v>10</x:v>
      </x:c>
      <x:c r="C9" s="4">
        <x:v>2568</x:v>
      </x:c>
      <x:c r="D9" s="2">
        <x:v>6.9</x:v>
      </x:c>
      <x:c r="E9" s="2">
        <x:v>0.46</x:v>
      </x:c>
      <x:c r="F9" s="2">
        <x:v>10.1</x:v>
      </x:c>
      <x:c r="G9" s="2">
        <x:v>10</x:v>
      </x:c>
      <x:c r="H9" s="2">
        <x:v>1</x:v>
      </x:c>
      <x:c r="I9" s="2">
        <x:v>10</x:v>
      </x:c>
    </x:row>
    <x:row r="10">
      <x:c r="A10" s="4" t="s">
        <x:v>18</x:v>
      </x:c>
      <x:c r="B10" s="4" t="s">
        <x:v>10</x:v>
      </x:c>
      <x:c r="C10" s="4">
        <x:v>2568</x:v>
      </x:c>
      <x:c r="D10" s="2">
        <x:v>5.8</x:v>
      </x:c>
      <x:c r="E10" s="2">
        <x:v>0.36</x:v>
      </x:c>
      <x:c r="F10" s="2">
        <x:v>5.8</x:v>
      </x:c>
      <x:c r="G10" s="2">
        <x:v>10</x:v>
      </x:c>
      <x:c r="H10" s="2">
        <x:v>1</x:v>
      </x:c>
      <x:c r="I10" s="2">
        <x:v>10</x:v>
      </x:c>
    </x:row>
    <x:row r="11">
      <x:c r="A11" s="4" t="s">
        <x:v>19</x:v>
      </x:c>
      <x:c r="B11" s="4" t="s">
        <x:v>10</x:v>
      </x:c>
      <x:c r="C11" s="4">
        <x:v>2568</x:v>
      </x:c>
      <x:c r="D11" s="2">
        <x:v>11.8</x:v>
      </x:c>
      <x:c r="E11" s="2">
        <x:v>0.45</x:v>
      </x:c>
      <x:c r="F11" s="2">
        <x:v>9.3000000000000007</x:v>
      </x:c>
      <x:c r="G11" s="2">
        <x:v>10</x:v>
      </x:c>
      <x:c r="H11" s="2">
        <x:v>1</x:v>
      </x:c>
      <x:c r="I11" s="2">
        <x:v>10</x:v>
      </x:c>
    </x:row>
    <x:row r="12">
      <x:c r="A12" s="4" t="s">
        <x:v>20</x:v>
      </x:c>
      <x:c r="B12" s="4" t="s">
        <x:v>10</x:v>
      </x:c>
      <x:c r="C12" s="4">
        <x:v>2568</x:v>
      </x:c>
      <x:c r="D12" s="2">
        <x:v>11.6</x:v>
      </x:c>
      <x:c r="E12" s="2">
        <x:v>0.81</x:v>
      </x:c>
      <x:c r="F12" s="2">
        <x:v>9.6</x:v>
      </x:c>
      <x:c r="G12" s="2">
        <x:v>10</x:v>
      </x:c>
      <x:c r="H12" s="2">
        <x:v>1</x:v>
      </x:c>
      <x:c r="I12" s="2">
        <x:v>10</x:v>
      </x:c>
    </x:row>
    <x:row r="13">
      <x:c r="A13" s="4" t="s">
        <x:v>21</x:v>
      </x:c>
      <x:c r="B13" s="4" t="s">
        <x:v>10</x:v>
      </x:c>
      <x:c r="C13" s="4">
        <x:v>2568</x:v>
      </x:c>
      <x:c r="D13" s="2">
        <x:v>9.1</x:v>
      </x:c>
      <x:c r="E13" s="2">
        <x:v>0.85</x:v>
      </x:c>
      <x:c r="F13" s="2">
        <x:v>10.1</x:v>
      </x:c>
      <x:c r="G13" s="2">
        <x:v>10</x:v>
      </x:c>
      <x:c r="H13" s="2">
        <x:v>1</x:v>
      </x:c>
      <x:c r="I13" s="2">
        <x:v>10</x:v>
      </x:c>
    </x:row>
    <x:row r="14">
      <x:c r="A14" s="4" t="s">
        <x:v>22</x:v>
      </x:c>
      <x:c r="B14" s="4" t="s">
        <x:v>10</x:v>
      </x:c>
      <x:c r="C14" s="4">
        <x:v>2568</x:v>
      </x:c>
      <x:c r="D14" s="2">
        <x:v>8.9</x:v>
      </x:c>
      <x:c r="E14" s="2">
        <x:v>0.79</x:v>
      </x:c>
      <x:c r="F14" s="2">
        <x:v>10.199999999999999</x:v>
      </x:c>
      <x:c r="G14" s="2">
        <x:v>10</x:v>
      </x:c>
      <x:c r="H14" s="2">
        <x:v>1</x:v>
      </x:c>
      <x:c r="I14" s="2">
        <x:v>10</x:v>
      </x:c>
    </x:row>
    <x:row r="15">
      <x:c r="A15" s="4" t="s">
        <x:v>23</x:v>
      </x:c>
      <x:c r="B15" s="4" t="s">
        <x:v>10</x:v>
      </x:c>
      <x:c r="C15" s="4">
        <x:v>2568</x:v>
      </x:c>
      <x:c r="D15" s="2">
        <x:v>6.9</x:v>
      </x:c>
      <x:c r="E15" s="2">
        <x:v>0.46</x:v>
      </x:c>
      <x:c r="F15" s="2">
        <x:v>10.1</x:v>
      </x:c>
      <x:c r="G15" s="2">
        <x:v>10</x:v>
      </x:c>
      <x:c r="H15" s="2">
        <x:v>1</x:v>
      </x:c>
      <x:c r="I15" s="2">
        <x:v>10</x:v>
      </x:c>
    </x:row>
    <x:row r="16">
      <x:c r="A16" s="4" t="s">
        <x:v>24</x:v>
      </x:c>
      <x:c r="B16" s="4" t="s">
        <x:v>25</x:v>
      </x:c>
      <x:c r="C16" s="4">
        <x:v>2568</x:v>
      </x:c>
      <x:c r="D16" s="2">
        <x:v>8.1300000000000008</x:v>
      </x:c>
      <x:c r="E16" s="2">
        <x:v>0.98</x:v>
      </x:c>
      <x:c r="F16" s="2">
        <x:v>9.16</x:v>
      </x:c>
      <x:c r="G16" s="2">
        <x:v>10</x:v>
      </x:c>
      <x:c r="H16" s="2">
        <x:v>1</x:v>
      </x:c>
      <x:c r="I16" s="2">
        <x:v>10</x:v>
      </x:c>
    </x:row>
    <x:row r="17">
      <x:c r="A17" s="4" t="s">
        <x:v>26</x:v>
      </x:c>
      <x:c r="B17" s="4" t="s">
        <x:v>25</x:v>
      </x:c>
      <x:c r="C17" s="4">
        <x:v>2568</x:v>
      </x:c>
      <x:c r="D17" s="2">
        <x:v>9.4499999999999993</x:v>
      </x:c>
      <x:c r="E17" s="2">
        <x:v>0.86</x:v>
      </x:c>
      <x:c r="F17" s="2">
        <x:v>8.9700000000000006</x:v>
      </x:c>
      <x:c r="G17" s="2">
        <x:v>10</x:v>
      </x:c>
      <x:c r="H17" s="2">
        <x:v>1</x:v>
      </x:c>
      <x:c r="I17" s="2">
        <x:v>10</x:v>
      </x:c>
    </x:row>
    <x:row r="18">
      <x:c r="A18" t="s">
        <x:v>9</x:v>
      </x:c>
      <x:c r="B18" s="4" t="s">
        <x:v>10</x:v>
      </x:c>
      <x:c r="C18">
        <x:v>2569</x:v>
      </x:c>
      <x:c r="D18">
        <x:v>6.8</x:v>
      </x:c>
      <x:c r="E18">
        <x:v>0.7</x:v>
      </x:c>
      <x:c r="F18">
        <x:v>4.7</x:v>
      </x:c>
      <x:c r="G18">
        <x:v>10</x:v>
      </x:c>
      <x:c r="H18">
        <x:v>1</x:v>
      </x:c>
      <x:c r="I18">
        <x:v>10</x:v>
      </x:c>
    </x:row>
    <x:row r="19">
      <x:c r="A19" t="s">
        <x:v>11</x:v>
      </x:c>
      <x:c r="B19" s="4" t="s">
        <x:v>10</x:v>
      </x:c>
      <x:c r="C19">
        <x:v>2569</x:v>
      </x:c>
      <x:c r="D19">
        <x:v>7</x:v>
      </x:c>
      <x:c r="E19">
        <x:v>0.67</x:v>
      </x:c>
      <x:c r="F19">
        <x:v>4.8</x:v>
      </x:c>
      <x:c r="G19">
        <x:v>10</x:v>
      </x:c>
      <x:c r="H19">
        <x:v>1</x:v>
      </x:c>
      <x:c r="I19">
        <x:v>10</x:v>
      </x:c>
    </x:row>
    <x:row r="20">
      <x:c r="A20" t="s">
        <x:v>12</x:v>
      </x:c>
      <x:c r="B20" s="4" t="s">
        <x:v>10</x:v>
      </x:c>
      <x:c r="C20">
        <x:v>2569</x:v>
      </x:c>
      <x:c r="D20">
        <x:v>7.9</x:v>
      </x:c>
      <x:c r="E20">
        <x:v>0.77</x:v>
      </x:c>
      <x:c r="F20">
        <x:v>9.4</x:v>
      </x:c>
      <x:c r="G20">
        <x:v>10</x:v>
      </x:c>
      <x:c r="H20">
        <x:v>1</x:v>
      </x:c>
      <x:c r="I20">
        <x:v>10</x:v>
      </x:c>
    </x:row>
    <x:row r="21">
      <x:c r="A21" t="s">
        <x:v>13</x:v>
      </x:c>
      <x:c r="B21" s="4" t="s">
        <x:v>10</x:v>
      </x:c>
      <x:c r="C21">
        <x:v>2569</x:v>
      </x:c>
      <x:c r="D21">
        <x:v>10.4</x:v>
      </x:c>
      <x:c r="E21">
        <x:v>0.95</x:v>
      </x:c>
      <x:c r="F21">
        <x:v>11</x:v>
      </x:c>
      <x:c r="G21">
        <x:v>10</x:v>
      </x:c>
      <x:c r="H21">
        <x:v>1</x:v>
      </x:c>
      <x:c r="I21">
        <x:v>10</x:v>
      </x:c>
    </x:row>
    <x:row r="22">
      <x:c r="A22" t="s">
        <x:v>14</x:v>
      </x:c>
      <x:c r="B22" s="4" t="s">
        <x:v>10</x:v>
      </x:c>
      <x:c r="C22">
        <x:v>2569</x:v>
      </x:c>
      <x:c r="D22">
        <x:v>11.6</x:v>
      </x:c>
      <x:c r="E22">
        <x:v>0.9</x:v>
      </x:c>
      <x:c r="F22">
        <x:v>12.5</x:v>
      </x:c>
      <x:c r="G22">
        <x:v>10</x:v>
      </x:c>
      <x:c r="H22">
        <x:v>1</x:v>
      </x:c>
      <x:c r="I22">
        <x:v>10</x:v>
      </x:c>
    </x:row>
    <x:row r="23">
      <x:c r="A23" t="s">
        <x:v>15</x:v>
      </x:c>
      <x:c r="B23" s="4" t="s">
        <x:v>10</x:v>
      </x:c>
      <x:c r="C23">
        <x:v>2569</x:v>
      </x:c>
      <x:c r="D23">
        <x:v>10.4</x:v>
      </x:c>
      <x:c r="E23">
        <x:v>1.06</x:v>
      </x:c>
      <x:c r="F23">
        <x:v>11.05</x:v>
      </x:c>
      <x:c r="G23">
        <x:v>10</x:v>
      </x:c>
      <x:c r="H23">
        <x:v>1</x:v>
      </x:c>
      <x:c r="I23">
        <x:v>10</x:v>
      </x:c>
    </x:row>
    <x:row r="24">
      <x:c r="A24" t="s">
        <x:v>16</x:v>
      </x:c>
      <x:c r="B24" s="4" t="s">
        <x:v>10</x:v>
      </x:c>
      <x:c r="C24">
        <x:v>2569</x:v>
      </x:c>
      <x:c r="D24">
        <x:v>11</x:v>
      </x:c>
      <x:c r="E24">
        <x:v>1.2</x:v>
      </x:c>
      <x:c r="F24">
        <x:v>11</x:v>
      </x:c>
      <x:c r="G24">
        <x:v>10</x:v>
      </x:c>
      <x:c r="H24">
        <x:v>1</x:v>
      </x:c>
      <x:c r="I24">
        <x:v>10</x:v>
      </x:c>
    </x:row>
    <x:row r="25">
      <x:c r="A25" t="s">
        <x:v>17</x:v>
      </x:c>
      <x:c r="B25" s="4" t="s">
        <x:v>10</x:v>
      </x:c>
      <x:c r="C25">
        <x:v>2569</x:v>
      </x:c>
      <x:c r="D25">
        <x:v>10</x:v>
      </x:c>
      <x:c r="E25">
        <x:v>1</x:v>
      </x:c>
      <x:c r="F25">
        <x:v>9</x:v>
      </x:c>
      <x:c r="G25">
        <x:v>10</x:v>
      </x:c>
      <x:c r="H25">
        <x:v>1</x:v>
      </x:c>
      <x:c r="I25">
        <x:v>10</x:v>
      </x:c>
    </x:row>
    <x:row r="26">
      <x:c r="A26" t="s">
        <x:v>18</x:v>
      </x:c>
      <x:c r="B26" s="4" t="s">
        <x:v>10</x:v>
      </x:c>
      <x:c r="C26">
        <x:v>2569</x:v>
      </x:c>
      <x:c r="D26">
        <x:v>10</x:v>
      </x:c>
      <x:c r="E26">
        <x:v>1</x:v>
      </x:c>
      <x:c r="F26">
        <x:v>9</x:v>
      </x:c>
      <x:c r="G26">
        <x:v>10</x:v>
      </x:c>
      <x:c r="H26">
        <x:v>1</x:v>
      </x:c>
      <x:c r="I26">
        <x:v>10</x:v>
      </x:c>
    </x:row>
    <x:row r="27">
      <x:c r="A27" t="s">
        <x:v>19</x:v>
      </x:c>
      <x:c r="B27" s="4" t="s">
        <x:v>10</x:v>
      </x:c>
      <x:c r="C27">
        <x:v>2569</x:v>
      </x:c>
      <x:c r="D27">
        <x:v>9.1</x:v>
      </x:c>
      <x:c r="E27">
        <x:v>0.9</x:v>
      </x:c>
      <x:c r="F27">
        <x:v>8.4</x:v>
      </x:c>
      <x:c r="G27">
        <x:v>10</x:v>
      </x:c>
      <x:c r="H27">
        <x:v>1</x:v>
      </x:c>
      <x:c r="I27">
        <x:v>10</x:v>
      </x:c>
    </x:row>
    <x:row r="28">
      <x:c r="A28" t="s">
        <x:v>20</x:v>
      </x:c>
      <x:c r="B28" s="4" t="s">
        <x:v>10</x:v>
      </x:c>
      <x:c r="C28">
        <x:v>2569</x:v>
      </x:c>
      <x:c r="D28">
        <x:v>9.5</x:v>
      </x:c>
      <x:c r="E28">
        <x:v>0.66</x:v>
      </x:c>
      <x:c r="F28">
        <x:v>12.4</x:v>
      </x:c>
      <x:c r="G28">
        <x:v>10</x:v>
      </x:c>
      <x:c r="H28">
        <x:v>1</x:v>
      </x:c>
      <x:c r="I28">
        <x:v>10</x:v>
      </x:c>
    </x:row>
    <x:row r="29">
      <x:c r="A29" t="s">
        <x:v>21</x:v>
      </x:c>
      <x:c r="B29" s="4" t="s">
        <x:v>10</x:v>
      </x:c>
      <x:c r="C29">
        <x:v>2569</x:v>
      </x:c>
      <x:c r="D29">
        <x:v>9.8000000000000007</x:v>
      </x:c>
      <x:c r="E29">
        <x:v>0.68</x:v>
      </x:c>
      <x:c r="F29">
        <x:v>12.7</x:v>
      </x:c>
      <x:c r="G29">
        <x:v>10</x:v>
      </x:c>
      <x:c r="H29">
        <x:v>1</x:v>
      </x:c>
      <x:c r="I29">
        <x:v>10</x:v>
      </x:c>
    </x:row>
    <x:row r="30">
      <x:c r="A30" t="s">
        <x:v>22</x:v>
      </x:c>
      <x:c r="B30" s="4" t="s">
        <x:v>10</x:v>
      </x:c>
      <x:c r="C30">
        <x:v>2569</x:v>
      </x:c>
      <x:c r="D30">
        <x:v>10.3</x:v>
      </x:c>
      <x:c r="E30">
        <x:v>0.84</x:v>
      </x:c>
      <x:c r="F30">
        <x:v>10.3</x:v>
      </x:c>
      <x:c r="G30">
        <x:v>10</x:v>
      </x:c>
      <x:c r="H30">
        <x:v>1</x:v>
      </x:c>
      <x:c r="I30">
        <x:v>10</x:v>
      </x:c>
    </x:row>
    <x:row r="31">
      <x:c r="A31" t="s">
        <x:v>23</x:v>
      </x:c>
      <x:c r="B31" s="4" t="s">
        <x:v>10</x:v>
      </x:c>
      <x:c r="C31">
        <x:v>2569</x:v>
      </x:c>
      <x:c r="D31">
        <x:v>10.7</x:v>
      </x:c>
      <x:c r="E31">
        <x:v>0.84</x:v>
      </x:c>
      <x:c r="F31">
        <x:v>8.8000000000000007</x:v>
      </x:c>
      <x:c r="G31">
        <x:v>10</x:v>
      </x:c>
      <x:c r="H31">
        <x:v>1</x:v>
      </x:c>
      <x:c r="I31">
        <x:v>10</x:v>
      </x:c>
    </x:row>
    <x:row r="32">
      <x:c r="A32" t="s">
        <x:v>27</x:v>
      </x:c>
      <x:c r="B32" s="4" t="s">
        <x:v>10</x:v>
      </x:c>
      <x:c r="C32">
        <x:v>2569</x:v>
      </x:c>
      <x:c r="D32">
        <x:v>10.7</x:v>
      </x:c>
      <x:c r="E32">
        <x:v>0.84</x:v>
      </x:c>
      <x:c r="F32">
        <x:v>8.8000000000000007</x:v>
      </x:c>
      <x:c r="G32">
        <x:v>10</x:v>
      </x:c>
      <x:c r="H32">
        <x:v>1</x:v>
      </x:c>
      <x:c r="I32">
        <x:v>10</x:v>
      </x:c>
    </x:row>
    <x:row r="33">
      <x:c r="A33" t="s">
        <x:v>28</x:v>
      </x:c>
      <x:c r="B33" s="4" t="s">
        <x:v>10</x:v>
      </x:c>
      <x:c r="C33">
        <x:v>2569</x:v>
      </x:c>
      <x:c r="D33">
        <x:v>10.7</x:v>
      </x:c>
      <x:c r="E33">
        <x:v>0.84</x:v>
      </x:c>
      <x:c r="F33">
        <x:v>8.8000000000000007</x:v>
      </x:c>
      <x:c r="G33">
        <x:v>10</x:v>
      </x:c>
      <x:c r="H33">
        <x:v>1</x:v>
      </x:c>
      <x:c r="I33">
        <x:v>10</x:v>
      </x:c>
    </x:row>
    <x:row r="34">
      <x:c r="A34" t="s">
        <x:v>29</x:v>
      </x:c>
      <x:c r="B34" s="4" t="s">
        <x:v>10</x:v>
      </x:c>
      <x:c r="C34">
        <x:v>2569</x:v>
      </x:c>
      <x:c r="D34">
        <x:v>10.7</x:v>
      </x:c>
      <x:c r="E34">
        <x:v>0.84</x:v>
      </x:c>
      <x:c r="F34">
        <x:v>8.8000000000000007</x:v>
      </x:c>
      <x:c r="G34">
        <x:v>10</x:v>
      </x:c>
      <x:c r="H34">
        <x:v>1</x:v>
      </x:c>
      <x:c r="I34">
        <x:v>10</x:v>
      </x:c>
    </x:row>
    <x:row r="35">
      <x:c r="A35" t="s">
        <x:v>30</x:v>
      </x:c>
      <x:c r="B35" s="4" t="s">
        <x:v>10</x:v>
      </x:c>
      <x:c r="C35">
        <x:v>2569</x:v>
      </x:c>
      <x:c r="D35">
        <x:v>12</x:v>
      </x:c>
      <x:c r="E35">
        <x:v>0.7</x:v>
      </x:c>
      <x:c r="F35">
        <x:v>9</x:v>
      </x:c>
      <x:c r="G35">
        <x:v>10</x:v>
      </x:c>
      <x:c r="H35">
        <x:v>1</x:v>
      </x:c>
      <x:c r="I35">
        <x:v>10</x:v>
      </x:c>
    </x:row>
    <x:row r="36">
      <x:c r="A36" t="s">
        <x:v>31</x:v>
      </x:c>
      <x:c r="B36" s="4" t="s">
        <x:v>10</x:v>
      </x:c>
      <x:c r="C36">
        <x:v>2569</x:v>
      </x:c>
      <x:c r="D36">
        <x:v>14</x:v>
      </x:c>
      <x:c r="E36">
        <x:v>0.9</x:v>
      </x:c>
      <x:c r="F36">
        <x:v>13</x:v>
      </x:c>
      <x:c r="G36">
        <x:v>10</x:v>
      </x:c>
      <x:c r="H36">
        <x:v>1</x:v>
      </x:c>
      <x:c r="I36">
        <x:v>10</x:v>
      </x:c>
    </x:row>
    <x:row r="37">
      <x:c r="A37" t="s">
        <x:v>32</x:v>
      </x:c>
      <x:c r="B37" s="4" t="s">
        <x:v>10</x:v>
      </x:c>
      <x:c r="C37">
        <x:v>2569</x:v>
      </x:c>
      <x:c r="D37">
        <x:v>14</x:v>
      </x:c>
      <x:c r="E37">
        <x:v>0.9</x:v>
      </x:c>
      <x:c r="F37">
        <x:v>13</x:v>
      </x:c>
      <x:c r="G37">
        <x:v>10</x:v>
      </x:c>
      <x:c r="H37">
        <x:v>1</x:v>
      </x:c>
      <x:c r="I37">
        <x:v>10</x:v>
      </x:c>
    </x:row>
    <x:row r="38">
      <x:c r="A38" t="s">
        <x:v>33</x:v>
      </x:c>
      <x:c r="B38" s="4" t="s">
        <x:v>10</x:v>
      </x:c>
      <x:c r="C38">
        <x:v>2569</x:v>
      </x:c>
      <x:c r="D38">
        <x:v>14</x:v>
      </x:c>
      <x:c r="E38">
        <x:v>0.9</x:v>
      </x:c>
      <x:c r="F38">
        <x:v>13</x:v>
      </x:c>
      <x:c r="G38">
        <x:v>10</x:v>
      </x:c>
      <x:c r="H38">
        <x:v>1</x:v>
      </x:c>
      <x:c r="I38">
        <x:v>10</x:v>
      </x:c>
    </x:row>
    <x:row r="39">
      <x:c r="A39" t="s">
        <x:v>34</x:v>
      </x:c>
      <x:c r="B39" s="4" t="s">
        <x:v>10</x:v>
      </x:c>
      <x:c r="C39">
        <x:v>2569</x:v>
      </x:c>
      <x:c r="D39">
        <x:v>6.02</x:v>
      </x:c>
      <x:c r="E39">
        <x:v>0.5</x:v>
      </x:c>
      <x:c r="F39">
        <x:v>5.98</x:v>
      </x:c>
      <x:c r="G39">
        <x:v>10</x:v>
      </x:c>
      <x:c r="H39">
        <x:v>1</x:v>
      </x:c>
      <x:c r="I39">
        <x:v>10</x:v>
      </x:c>
    </x:row>
    <x:row r="40">
      <x:c r="A40" t="s">
        <x:v>35</x:v>
      </x:c>
      <x:c r="B40" s="4" t="s">
        <x:v>10</x:v>
      </x:c>
      <x:c r="C40">
        <x:v>2569</x:v>
      </x:c>
      <x:c r="D40">
        <x:v>11</x:v>
      </x:c>
      <x:c r="E40">
        <x:v>1.1000000000000001</x:v>
      </x:c>
      <x:c r="F40">
        <x:v>13</x:v>
      </x:c>
      <x:c r="G40">
        <x:v>10</x:v>
      </x:c>
      <x:c r="H40">
        <x:v>1</x:v>
      </x:c>
      <x:c r="I40">
        <x:v>10</x:v>
      </x:c>
    </x:row>
    <x:row r="41">
      <x:c r="A41" t="s">
        <x:v>36</x:v>
      </x:c>
      <x:c r="B41" s="4" t="s">
        <x:v>10</x:v>
      </x:c>
      <x:c r="C41">
        <x:v>2569</x:v>
      </x:c>
      <x:c r="D41">
        <x:v>7</x:v>
      </x:c>
      <x:c r="E41">
        <x:v>0.7</x:v>
      </x:c>
      <x:c r="F41">
        <x:v>6</x:v>
      </x:c>
      <x:c r="G41">
        <x:v>10</x:v>
      </x:c>
      <x:c r="H41">
        <x:v>1</x:v>
      </x:c>
      <x:c r="I41">
        <x:v>10</x:v>
      </x:c>
    </x:row>
    <x:row r="42">
      <x:c r="A42" t="s">
        <x:v>37</x:v>
      </x:c>
      <x:c r="B42" s="4" t="s">
        <x:v>10</x:v>
      </x:c>
      <x:c r="C42">
        <x:v>2569</x:v>
      </x:c>
      <x:c r="D42">
        <x:v>8.1</x:v>
      </x:c>
      <x:c r="E42">
        <x:v>0.71</x:v>
      </x:c>
      <x:c r="F42">
        <x:v>7.8</x:v>
      </x:c>
      <x:c r="G42">
        <x:v>10</x:v>
      </x:c>
      <x:c r="H42">
        <x:v>1</x:v>
      </x:c>
      <x:c r="I42">
        <x:v>10</x:v>
      </x:c>
    </x:row>
    <x:row r="43">
      <x:c r="A43" t="s">
        <x:v>38</x:v>
      </x:c>
      <x:c r="B43" s="4" t="s">
        <x:v>10</x:v>
      </x:c>
      <x:c r="C43">
        <x:v>2569</x:v>
      </x:c>
      <x:c r="D43">
        <x:v>7.9</x:v>
      </x:c>
      <x:c r="E43">
        <x:v>0.77</x:v>
      </x:c>
      <x:c r="F43">
        <x:v>9.4</x:v>
      </x:c>
      <x:c r="G43">
        <x:v>10</x:v>
      </x:c>
      <x:c r="H43">
        <x:v>1</x:v>
      </x:c>
      <x:c r="I43">
        <x:v>10</x:v>
      </x:c>
    </x:row>
    <x:row r="44">
      <x:c r="A44" t="s">
        <x:v>39</x:v>
      </x:c>
      <x:c r="B44" s="4" t="s">
        <x:v>10</x:v>
      </x:c>
      <x:c r="C44">
        <x:v>2569</x:v>
      </x:c>
      <x:c r="D44">
        <x:v>8.91</x:v>
      </x:c>
      <x:c r="E44">
        <x:v>0.68</x:v>
      </x:c>
      <x:c r="F44">
        <x:v>8.51</x:v>
      </x:c>
      <x:c r="G44">
        <x:v>10</x:v>
      </x:c>
      <x:c r="H44">
        <x:v>1</x:v>
      </x:c>
      <x:c r="I44">
        <x:v>10</x:v>
      </x:c>
    </x:row>
    <x:row r="45">
      <x:c r="A45" t="s">
        <x:v>40</x:v>
      </x:c>
      <x:c r="B45" s="4" t="s">
        <x:v>10</x:v>
      </x:c>
      <x:c r="C45">
        <x:v>2569</x:v>
      </x:c>
      <x:c r="D45">
        <x:v>7.07</x:v>
      </x:c>
      <x:c r="E45">
        <x:v>0.48</x:v>
      </x:c>
      <x:c r="F45">
        <x:v>5.65</x:v>
      </x:c>
      <x:c r="G45">
        <x:v>10</x:v>
      </x:c>
      <x:c r="H45">
        <x:v>1</x:v>
      </x:c>
      <x:c r="I45">
        <x:v>10</x:v>
      </x:c>
    </x:row>
    <x:row r="46">
      <x:c r="A46" t="s">
        <x:v>41</x:v>
      </x:c>
      <x:c r="B46" s="4" t="s">
        <x:v>10</x:v>
      </x:c>
      <x:c r="C46">
        <x:v>2569</x:v>
      </x:c>
      <x:c r="D46">
        <x:v>19.87</x:v>
      </x:c>
      <x:c r="E46">
        <x:v>1.48</x:v>
      </x:c>
      <x:c r="F46">
        <x:v>14.95</x:v>
      </x:c>
      <x:c r="G46">
        <x:v>10</x:v>
      </x:c>
      <x:c r="H46">
        <x:v>1</x:v>
      </x:c>
      <x:c r="I46">
        <x:v>10</x:v>
      </x:c>
    </x:row>
    <x:row r="47">
      <x:c r="A47" t="s">
        <x:v>42</x:v>
      </x:c>
      <x:c r="B47" s="4" t="s">
        <x:v>10</x:v>
      </x:c>
      <x:c r="C47">
        <x:v>2569</x:v>
      </x:c>
      <x:c r="D47">
        <x:v>8.1</x:v>
      </x:c>
      <x:c r="E47">
        <x:v>0.6</x:v>
      </x:c>
      <x:c r="F47">
        <x:v>9.3000000000000007</x:v>
      </x:c>
      <x:c r="G47">
        <x:v>10</x:v>
      </x:c>
      <x:c r="H47">
        <x:v>1</x:v>
      </x:c>
      <x:c r="I47">
        <x:v>10</x:v>
      </x:c>
    </x:row>
    <x:row r="48">
      <x:c r="A48" t="s">
        <x:v>43</x:v>
      </x:c>
      <x:c r="B48" s="4" t="s">
        <x:v>10</x:v>
      </x:c>
      <x:c r="C48">
        <x:v>2569</x:v>
      </x:c>
      <x:c r="D48">
        <x:v>9.4</x:v>
      </x:c>
      <x:c r="E48">
        <x:v>0.46</x:v>
      </x:c>
      <x:c r="F48">
        <x:v>9.4</x:v>
      </x:c>
      <x:c r="G48">
        <x:v>10</x:v>
      </x:c>
      <x:c r="H48">
        <x:v>1</x:v>
      </x:c>
      <x:c r="I48">
        <x:v>10</x:v>
      </x:c>
    </x:row>
    <x:row r="49">
      <x:c r="A49" t="s">
        <x:v>44</x:v>
      </x:c>
      <x:c r="B49" s="4" t="s">
        <x:v>10</x:v>
      </x:c>
      <x:c r="C49">
        <x:v>2569</x:v>
      </x:c>
      <x:c r="D49">
        <x:v>11.36</x:v>
      </x:c>
      <x:c r="E49">
        <x:v>0.01</x:v>
      </x:c>
      <x:c r="F49">
        <x:v>0.3</x:v>
      </x:c>
      <x:c r="G49">
        <x:v>10</x:v>
      </x:c>
      <x:c r="H49">
        <x:v>1</x:v>
      </x:c>
      <x:c r="I49">
        <x:v>10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3" hidden="0" customWidth="1"/>
    <x:col min="9" max="9" width="10" hidden="0" customWidth="1"/>
    <x:col min="10" max="10" width="12" hidden="0" customWidth="1"/>
    <x:col min="11" max="11" width="14" hidden="0" customWidth="1"/>
    <x:col min="12" max="12" width="12" hidden="0" customWidth="1"/>
    <x:col min="13" max="13" width="14" hidden="0" customWidth="1"/>
    <x:col min="14" max="14" width="16" hidden="0" customWidth="1"/>
    <x:col min="15" max="15" width="14" hidden="0" customWidth="1"/>
    <x:col min="16" max="16" width="18" hidden="0" customWidth="1"/>
    <x:col min="17" max="17" width="18" hidden="0" customWidth="1"/>
    <x:col min="18" max="18" width="15" hidden="0" customWidth="1"/>
  </x:cols>
  <x:sheetData>
    <x:row r="1" ht="32" customHeight="1">
      <x:c r="A1" s="14" t="str">
        <x:v>Product_ID</x:v>
      </x:c>
      <x:c r="B1" s="14" t="str">
        <x:v>Product_Type</x:v>
      </x:c>
      <x:c r="C1" s="14" t="str">
        <x:v>ปีที่รับแจ้ง</x:v>
      </x:c>
      <x:c r="D1" s="14" t="str">
        <x:v>Tar</x:v>
      </x:c>
      <x:c r="E1" s="14" t="str">
        <x:v>Nicotine</x:v>
      </x:c>
      <x:c r="F1" s="14" t="str">
        <x:v>CO</x:v>
      </x:c>
      <x:c r="G1" s="14" t="str">
        <x:v>Tar_Limit</x:v>
      </x:c>
      <x:c r="H1" s="14" t="str">
        <x:v>Nicotine_Limit</x:v>
      </x:c>
      <x:c r="I1" s="14" t="str">
        <x:v>CO_Limit</x:v>
      </x:c>
      <x:c r="J1" s="14" t="str">
        <x:v>Tar_%เกณฑ์</x:v>
      </x:c>
      <x:c r="K1" s="14" t="str">
        <x:v>Nicotine_%เกณฑ์</x:v>
      </x:c>
      <x:c r="L1" s="14" t="str">
        <x:v>CO_%เกณฑ์</x:v>
      </x:c>
      <x:c r="M1" s="14" t="str">
        <x:v>ผล Tar</x:v>
      </x:c>
      <x:c r="N1" s="14" t="str">
        <x:v>ผล Nicotine</x:v>
      </x:c>
      <x:c r="O1" s="14" t="str">
        <x:v>ผล CO</x:v>
      </x:c>
      <x:c r="P1" s="14" t="str">
        <x:v>จำนวนสารที่เกินเกณฑ์</x:v>
      </x:c>
      <x:c r="Q1" s="14" t="str">
        <x:v>ค่าสูงสุดเทียบเกณฑ์</x:v>
      </x:c>
      <x:c r="R1" s="14" t="str">
        <x:v>สถานะรวม</x:v>
      </x:c>
    </x:row>
    <x:row r="2">
      <x:c r="A2" s="20" t="str">
        <x:v>Cig001</x:v>
      </x:c>
      <x:c r="B2" s="21" t="str">
        <x:v>Cigarette</x:v>
      </x:c>
      <x:c r="C2" s="21" t="n">
        <x:v>2568</x:v>
      </x:c>
      <x:c r="D2" s="21" t="n">
        <x:v>9.8</x:v>
      </x:c>
      <x:c r="E2" s="21" t="n">
        <x:v>0.93</x:v>
      </x:c>
      <x:c r="F2" s="21" t="n">
        <x:v>8.8</x:v>
      </x:c>
      <x:c r="G2" s="21" t="n">
        <x:v>10</x:v>
      </x:c>
      <x:c r="H2" s="21" t="n">
        <x:v>1</x:v>
      </x:c>
      <x:c r="I2" s="21" t="n">
        <x:v>10</x:v>
      </x:c>
      <x:c r="J2" s="37" t="n">
        <x:f>IFERROR(D2/G2,"")</x:f>
        <x:v>0.9800000000000001</x:v>
      </x:c>
      <x:c r="K2" s="37" t="n">
        <x:f>IFERROR(E2/H2,"")</x:f>
        <x:v>0.93</x:v>
      </x:c>
      <x:c r="L2" s="37" t="n">
        <x:f>IFERROR(F2/I2,"")</x:f>
        <x:v>0.8800000000000001</x:v>
      </x:c>
      <x:c r="M2" s="21" t="str">
        <x:f>IF(D2&gt;G2,"เกินเกณฑ์",IF(D2=G2,"เท่ากับเกณฑ์","ไม่เกินเกณฑ์"))</x:f>
        <x:v>ไม่เกินเกณฑ์</x:v>
      </x:c>
      <x:c r="N2" s="21" t="str">
        <x:f>IF(E2&gt;H2,"เกินเกณฑ์",IF(E2=H2,"เท่ากับเกณฑ์","ไม่เกินเกณฑ์"))</x:f>
        <x:v>ไม่เกินเกณฑ์</x:v>
      </x:c>
      <x:c r="O2" s="21" t="str">
        <x:f>IF(F2&gt;I2,"เกินเกณฑ์",IF(F2=I2,"เท่ากับเกณฑ์","ไม่เกินเกณฑ์"))</x:f>
        <x:v>ไม่เกินเกณฑ์</x:v>
      </x:c>
      <x:c r="P2" s="21" t="n">
        <x:f>--(D2&gt;G2)+--(E2&gt;H2)+--(F2&gt;I2)</x:f>
        <x:v>0</x:v>
      </x:c>
      <x:c r="Q2" s="37" t="n">
        <x:f>MAX(J2:L2)</x:f>
        <x:v>0.9800000000000001</x:v>
      </x:c>
      <x:c r="R2" s="22" t="str">
        <x:f>IF(P2=0,"ไม่เกินเกณฑ์",IF(P2=1,"เกิน 1 สาร",IF(P2=2,"เกิน 2 สาร","เกิน 3 สาร")))</x:f>
        <x:v>ไม่เกินเกณฑ์</x:v>
      </x:c>
    </x:row>
    <x:row r="3">
      <x:c r="A3" s="23" t="str">
        <x:v>Cig002</x:v>
      </x:c>
      <x:c r="B3" s="24" t="str">
        <x:v>Cigarette</x:v>
      </x:c>
      <x:c r="C3" s="24" t="n">
        <x:v>2568</x:v>
      </x:c>
      <x:c r="D3" s="24" t="n">
        <x:v>6.8</x:v>
      </x:c>
      <x:c r="E3" s="24" t="n">
        <x:v>0.69</x:v>
      </x:c>
      <x:c r="F3" s="24" t="n">
        <x:v>4.4</x:v>
      </x:c>
      <x:c r="G3" s="24" t="n">
        <x:v>10</x:v>
      </x:c>
      <x:c r="H3" s="24" t="n">
        <x:v>1</x:v>
      </x:c>
      <x:c r="I3" s="24" t="n">
        <x:v>10</x:v>
      </x:c>
      <x:c r="J3" s="38" t="n">
        <x:f>IFERROR(D3/G3,"")</x:f>
        <x:v>0.6799999999999999</x:v>
      </x:c>
      <x:c r="K3" s="38" t="n">
        <x:f>IFERROR(E3/H3,"")</x:f>
        <x:v>0.69</x:v>
      </x:c>
      <x:c r="L3" s="38" t="n">
        <x:f>IFERROR(F3/I3,"")</x:f>
        <x:v>0.44000000000000006</x:v>
      </x:c>
      <x:c r="M3" s="24" t="str">
        <x:f>IF(D3&gt;G3,"เกินเกณฑ์",IF(D3=G3,"เท่ากับเกณฑ์","ไม่เกินเกณฑ์"))</x:f>
        <x:v>ไม่เกินเกณฑ์</x:v>
      </x:c>
      <x:c r="N3" s="24" t="str">
        <x:f>IF(E3&gt;H3,"เกินเกณฑ์",IF(E3=H3,"เท่ากับเกณฑ์","ไม่เกินเกณฑ์"))</x:f>
        <x:v>ไม่เกินเกณฑ์</x:v>
      </x:c>
      <x:c r="O3" s="24" t="str">
        <x:f>IF(F3&gt;I3,"เกินเกณฑ์",IF(F3=I3,"เท่ากับเกณฑ์","ไม่เกินเกณฑ์"))</x:f>
        <x:v>ไม่เกินเกณฑ์</x:v>
      </x:c>
      <x:c r="P3" s="24" t="n">
        <x:f>--(D3&gt;G3)+--(E3&gt;H3)+--(F3&gt;I3)</x:f>
        <x:v>0</x:v>
      </x:c>
      <x:c r="Q3" s="38" t="n">
        <x:f>MAX(J3:L3)</x:f>
        <x:v>0.69</x:v>
      </x:c>
      <x:c r="R3" s="25" t="str">
        <x:f>IF(P3=0,"ไม่เกินเกณฑ์",IF(P3=1,"เกิน 1 สาร",IF(P3=2,"เกิน 2 สาร","เกิน 3 สาร")))</x:f>
        <x:v>ไม่เกินเกณฑ์</x:v>
      </x:c>
    </x:row>
    <x:row r="4">
      <x:c r="A4" s="23" t="str">
        <x:v>Cig003</x:v>
      </x:c>
      <x:c r="B4" s="24" t="str">
        <x:v>Cigarette</x:v>
      </x:c>
      <x:c r="C4" s="24" t="n">
        <x:v>2568</x:v>
      </x:c>
      <x:c r="D4" s="24" t="n">
        <x:v>7.2</x:v>
      </x:c>
      <x:c r="E4" s="24" t="n">
        <x:v>0.53</x:v>
      </x:c>
      <x:c r="F4" s="24" t="n">
        <x:v>9.4</x:v>
      </x:c>
      <x:c r="G4" s="24" t="n">
        <x:v>10</x:v>
      </x:c>
      <x:c r="H4" s="24" t="n">
        <x:v>1</x:v>
      </x:c>
      <x:c r="I4" s="24" t="n">
        <x:v>10</x:v>
      </x:c>
      <x:c r="J4" s="38" t="n">
        <x:f>IFERROR(D4/G4,"")</x:f>
        <x:v>0.72</x:v>
      </x:c>
      <x:c r="K4" s="38" t="n">
        <x:f>IFERROR(E4/H4,"")</x:f>
        <x:v>0.53</x:v>
      </x:c>
      <x:c r="L4" s="38" t="n">
        <x:f>IFERROR(F4/I4,"")</x:f>
        <x:v>0.9400000000000001</x:v>
      </x:c>
      <x:c r="M4" s="24" t="str">
        <x:f>IF(D4&gt;G4,"เกินเกณฑ์",IF(D4=G4,"เท่ากับเกณฑ์","ไม่เกินเกณฑ์"))</x:f>
        <x:v>ไม่เกินเกณฑ์</x:v>
      </x:c>
      <x:c r="N4" s="24" t="str">
        <x:f>IF(E4&gt;H4,"เกินเกณฑ์",IF(E4=H4,"เท่ากับเกณฑ์","ไม่เกินเกณฑ์"))</x:f>
        <x:v>ไม่เกินเกณฑ์</x:v>
      </x:c>
      <x:c r="O4" s="24" t="str">
        <x:f>IF(F4&gt;I4,"เกินเกณฑ์",IF(F4=I4,"เท่ากับเกณฑ์","ไม่เกินเกณฑ์"))</x:f>
        <x:v>ไม่เกินเกณฑ์</x:v>
      </x:c>
      <x:c r="P4" s="24" t="n">
        <x:f>--(D4&gt;G4)+--(E4&gt;H4)+--(F4&gt;I4)</x:f>
        <x:v>0</x:v>
      </x:c>
      <x:c r="Q4" s="38" t="n">
        <x:f>MAX(J4:L4)</x:f>
        <x:v>0.9400000000000001</x:v>
      </x:c>
      <x:c r="R4" s="25" t="str">
        <x:f>IF(P4=0,"ไม่เกินเกณฑ์",IF(P4=1,"เกิน 1 สาร",IF(P4=2,"เกิน 2 สาร","เกิน 3 สาร")))</x:f>
        <x:v>ไม่เกินเกณฑ์</x:v>
      </x:c>
    </x:row>
    <x:row r="5">
      <x:c r="A5" s="23" t="str">
        <x:v>Cig004</x:v>
      </x:c>
      <x:c r="B5" s="24" t="str">
        <x:v>Cigarette</x:v>
      </x:c>
      <x:c r="C5" s="24" t="n">
        <x:v>2568</x:v>
      </x:c>
      <x:c r="D5" s="24" t="n">
        <x:v>14</x:v>
      </x:c>
      <x:c r="E5" s="24" t="n">
        <x:v>0.9</x:v>
      </x:c>
      <x:c r="F5" s="24" t="n">
        <x:v>13</x:v>
      </x:c>
      <x:c r="G5" s="24" t="n">
        <x:v>10</x:v>
      </x:c>
      <x:c r="H5" s="24" t="n">
        <x:v>1</x:v>
      </x:c>
      <x:c r="I5" s="24" t="n">
        <x:v>10</x:v>
      </x:c>
      <x:c r="J5" s="38" t="n">
        <x:f>IFERROR(D5/G5,"")</x:f>
        <x:v>1.4</x:v>
      </x:c>
      <x:c r="K5" s="38" t="n">
        <x:f>IFERROR(E5/H5,"")</x:f>
        <x:v>0.9</x:v>
      </x:c>
      <x:c r="L5" s="38" t="n">
        <x:f>IFERROR(F5/I5,"")</x:f>
        <x:v>1.3</x:v>
      </x:c>
      <x:c r="M5" s="24" t="str">
        <x:f>IF(D5&gt;G5,"เกินเกณฑ์",IF(D5=G5,"เท่ากับเกณฑ์","ไม่เกินเกณฑ์"))</x:f>
        <x:v>เกินเกณฑ์</x:v>
      </x:c>
      <x:c r="N5" s="24" t="str">
        <x:f>IF(E5&gt;H5,"เกินเกณฑ์",IF(E5=H5,"เท่ากับเกณฑ์","ไม่เกินเกณฑ์"))</x:f>
        <x:v>ไม่เกินเกณฑ์</x:v>
      </x:c>
      <x:c r="O5" s="24" t="str">
        <x:f>IF(F5&gt;I5,"เกินเกณฑ์",IF(F5=I5,"เท่ากับเกณฑ์","ไม่เกินเกณฑ์"))</x:f>
        <x:v>เกินเกณฑ์</x:v>
      </x:c>
      <x:c r="P5" s="24" t="n">
        <x:f>--(D5&gt;G5)+--(E5&gt;H5)+--(F5&gt;I5)</x:f>
        <x:v>2</x:v>
      </x:c>
      <x:c r="Q5" s="38" t="n">
        <x:f>MAX(J5:L5)</x:f>
        <x:v>1.4</x:v>
      </x:c>
      <x:c r="R5" s="25" t="str">
        <x:f>IF(P5=0,"ไม่เกินเกณฑ์",IF(P5=1,"เกิน 1 สาร",IF(P5=2,"เกิน 2 สาร","เกิน 3 สาร")))</x:f>
        <x:v>เกิน 2 สาร</x:v>
      </x:c>
    </x:row>
    <x:row r="6">
      <x:c r="A6" s="23" t="str">
        <x:v>Cig005</x:v>
      </x:c>
      <x:c r="B6" s="24" t="str">
        <x:v>Cigarette</x:v>
      </x:c>
      <x:c r="C6" s="24" t="n">
        <x:v>2568</x:v>
      </x:c>
      <x:c r="D6" s="24" t="n">
        <x:v>6.4</x:v>
      </x:c>
      <x:c r="E6" s="24" t="n">
        <x:v>0.42</x:v>
      </x:c>
      <x:c r="F6" s="24" t="n">
        <x:v>7.3</x:v>
      </x:c>
      <x:c r="G6" s="24" t="n">
        <x:v>10</x:v>
      </x:c>
      <x:c r="H6" s="24" t="n">
        <x:v>1</x:v>
      </x:c>
      <x:c r="I6" s="24" t="n">
        <x:v>10</x:v>
      </x:c>
      <x:c r="J6" s="38" t="n">
        <x:f>IFERROR(D6/G6,"")</x:f>
        <x:v>0.64</x:v>
      </x:c>
      <x:c r="K6" s="38" t="n">
        <x:f>IFERROR(E6/H6,"")</x:f>
        <x:v>0.42</x:v>
      </x:c>
      <x:c r="L6" s="38" t="n">
        <x:f>IFERROR(F6/I6,"")</x:f>
        <x:v>0.73</x:v>
      </x:c>
      <x:c r="M6" s="24" t="str">
        <x:f>IF(D6&gt;G6,"เกินเกณฑ์",IF(D6=G6,"เท่ากับเกณฑ์","ไม่เกินเกณฑ์"))</x:f>
        <x:v>ไม่เกินเกณฑ์</x:v>
      </x:c>
      <x:c r="N6" s="24" t="str">
        <x:f>IF(E6&gt;H6,"เกินเกณฑ์",IF(E6=H6,"เท่ากับเกณฑ์","ไม่เกินเกณฑ์"))</x:f>
        <x:v>ไม่เกินเกณฑ์</x:v>
      </x:c>
      <x:c r="O6" s="24" t="str">
        <x:f>IF(F6&gt;I6,"เกินเกณฑ์",IF(F6=I6,"เท่ากับเกณฑ์","ไม่เกินเกณฑ์"))</x:f>
        <x:v>ไม่เกินเกณฑ์</x:v>
      </x:c>
      <x:c r="P6" s="24" t="n">
        <x:f>--(D6&gt;G6)+--(E6&gt;H6)+--(F6&gt;I6)</x:f>
        <x:v>0</x:v>
      </x:c>
      <x:c r="Q6" s="38" t="n">
        <x:f>MAX(J6:L6)</x:f>
        <x:v>0.73</x:v>
      </x:c>
      <x:c r="R6" s="25" t="str">
        <x:f>IF(P6=0,"ไม่เกินเกณฑ์",IF(P6=1,"เกิน 1 สาร",IF(P6=2,"เกิน 2 สาร","เกิน 3 สาร")))</x:f>
        <x:v>ไม่เกินเกณฑ์</x:v>
      </x:c>
    </x:row>
    <x:row r="7">
      <x:c r="A7" s="23" t="str">
        <x:v>Cig006</x:v>
      </x:c>
      <x:c r="B7" s="24" t="str">
        <x:v>Cigarette</x:v>
      </x:c>
      <x:c r="C7" s="24" t="n">
        <x:v>2568</x:v>
      </x:c>
      <x:c r="D7" s="24" t="n">
        <x:v>5.8</x:v>
      </x:c>
      <x:c r="E7" s="24" t="n">
        <x:v>0.35</x:v>
      </x:c>
      <x:c r="F7" s="24" t="n">
        <x:v>6.5</x:v>
      </x:c>
      <x:c r="G7" s="24" t="n">
        <x:v>10</x:v>
      </x:c>
      <x:c r="H7" s="24" t="n">
        <x:v>1</x:v>
      </x:c>
      <x:c r="I7" s="24" t="n">
        <x:v>10</x:v>
      </x:c>
      <x:c r="J7" s="38" t="n">
        <x:f>IFERROR(D7/G7,"")</x:f>
        <x:v>0.58</x:v>
      </x:c>
      <x:c r="K7" s="38" t="n">
        <x:f>IFERROR(E7/H7,"")</x:f>
        <x:v>0.35</x:v>
      </x:c>
      <x:c r="L7" s="38" t="n">
        <x:f>IFERROR(F7/I7,"")</x:f>
        <x:v>0.65</x:v>
      </x:c>
      <x:c r="M7" s="24" t="str">
        <x:f>IF(D7&gt;G7,"เกินเกณฑ์",IF(D7=G7,"เท่ากับเกณฑ์","ไม่เกินเกณฑ์"))</x:f>
        <x:v>ไม่เกินเกณฑ์</x:v>
      </x:c>
      <x:c r="N7" s="24" t="str">
        <x:f>IF(E7&gt;H7,"เกินเกณฑ์",IF(E7=H7,"เท่ากับเกณฑ์","ไม่เกินเกณฑ์"))</x:f>
        <x:v>ไม่เกินเกณฑ์</x:v>
      </x:c>
      <x:c r="O7" s="24" t="str">
        <x:f>IF(F7&gt;I7,"เกินเกณฑ์",IF(F7=I7,"เท่ากับเกณฑ์","ไม่เกินเกณฑ์"))</x:f>
        <x:v>ไม่เกินเกณฑ์</x:v>
      </x:c>
      <x:c r="P7" s="24" t="n">
        <x:f>--(D7&gt;G7)+--(E7&gt;H7)+--(F7&gt;I7)</x:f>
        <x:v>0</x:v>
      </x:c>
      <x:c r="Q7" s="38" t="n">
        <x:f>MAX(J7:L7)</x:f>
        <x:v>0.65</x:v>
      </x:c>
      <x:c r="R7" s="25" t="str">
        <x:f>IF(P7=0,"ไม่เกินเกณฑ์",IF(P7=1,"เกิน 1 สาร",IF(P7=2,"เกิน 2 สาร","เกิน 3 สาร")))</x:f>
        <x:v>ไม่เกินเกณฑ์</x:v>
      </x:c>
    </x:row>
    <x:row r="8">
      <x:c r="A8" s="23" t="str">
        <x:v>Cig007</x:v>
      </x:c>
      <x:c r="B8" s="24" t="str">
        <x:v>Cigarette</x:v>
      </x:c>
      <x:c r="C8" s="24" t="n">
        <x:v>2568</x:v>
      </x:c>
      <x:c r="D8" s="24" t="n">
        <x:v>7.2</x:v>
      </x:c>
      <x:c r="E8" s="24" t="n">
        <x:v>0.53</x:v>
      </x:c>
      <x:c r="F8" s="24" t="n">
        <x:v>9.4</x:v>
      </x:c>
      <x:c r="G8" s="24" t="n">
        <x:v>10</x:v>
      </x:c>
      <x:c r="H8" s="24" t="n">
        <x:v>1</x:v>
      </x:c>
      <x:c r="I8" s="24" t="n">
        <x:v>10</x:v>
      </x:c>
      <x:c r="J8" s="38" t="n">
        <x:f>IFERROR(D8/G8,"")</x:f>
        <x:v>0.72</x:v>
      </x:c>
      <x:c r="K8" s="38" t="n">
        <x:f>IFERROR(E8/H8,"")</x:f>
        <x:v>0.53</x:v>
      </x:c>
      <x:c r="L8" s="38" t="n">
        <x:f>IFERROR(F8/I8,"")</x:f>
        <x:v>0.9400000000000001</x:v>
      </x:c>
      <x:c r="M8" s="24" t="str">
        <x:f>IF(D8&gt;G8,"เกินเกณฑ์",IF(D8=G8,"เท่ากับเกณฑ์","ไม่เกินเกณฑ์"))</x:f>
        <x:v>ไม่เกินเกณฑ์</x:v>
      </x:c>
      <x:c r="N8" s="24" t="str">
        <x:f>IF(E8&gt;H8,"เกินเกณฑ์",IF(E8=H8,"เท่ากับเกณฑ์","ไม่เกินเกณฑ์"))</x:f>
        <x:v>ไม่เกินเกณฑ์</x:v>
      </x:c>
      <x:c r="O8" s="24" t="str">
        <x:f>IF(F8&gt;I8,"เกินเกณฑ์",IF(F8=I8,"เท่ากับเกณฑ์","ไม่เกินเกณฑ์"))</x:f>
        <x:v>ไม่เกินเกณฑ์</x:v>
      </x:c>
      <x:c r="P8" s="24" t="n">
        <x:f>--(D8&gt;G8)+--(E8&gt;H8)+--(F8&gt;I8)</x:f>
        <x:v>0</x:v>
      </x:c>
      <x:c r="Q8" s="38" t="n">
        <x:f>MAX(J8:L8)</x:f>
        <x:v>0.9400000000000001</x:v>
      </x:c>
      <x:c r="R8" s="25" t="str">
        <x:f>IF(P8=0,"ไม่เกินเกณฑ์",IF(P8=1,"เกิน 1 สาร",IF(P8=2,"เกิน 2 สาร","เกิน 3 สาร")))</x:f>
        <x:v>ไม่เกินเกณฑ์</x:v>
      </x:c>
    </x:row>
    <x:row r="9">
      <x:c r="A9" s="23" t="str">
        <x:v>Cig008</x:v>
      </x:c>
      <x:c r="B9" s="24" t="str">
        <x:v>Cigarette</x:v>
      </x:c>
      <x:c r="C9" s="24" t="n">
        <x:v>2568</x:v>
      </x:c>
      <x:c r="D9" s="24" t="n">
        <x:v>6.9</x:v>
      </x:c>
      <x:c r="E9" s="24" t="n">
        <x:v>0.46</x:v>
      </x:c>
      <x:c r="F9" s="24" t="n">
        <x:v>10.1</x:v>
      </x:c>
      <x:c r="G9" s="24" t="n">
        <x:v>10</x:v>
      </x:c>
      <x:c r="H9" s="24" t="n">
        <x:v>1</x:v>
      </x:c>
      <x:c r="I9" s="24" t="n">
        <x:v>10</x:v>
      </x:c>
      <x:c r="J9" s="38" t="n">
        <x:f>IFERROR(D9/G9,"")</x:f>
        <x:v>0.6900000000000001</x:v>
      </x:c>
      <x:c r="K9" s="38" t="n">
        <x:f>IFERROR(E9/H9,"")</x:f>
        <x:v>0.46</x:v>
      </x:c>
      <x:c r="L9" s="38" t="n">
        <x:f>IFERROR(F9/I9,"")</x:f>
        <x:v>1.01</x:v>
      </x:c>
      <x:c r="M9" s="24" t="str">
        <x:f>IF(D9&gt;G9,"เกินเกณฑ์",IF(D9=G9,"เท่ากับเกณฑ์","ไม่เกินเกณฑ์"))</x:f>
        <x:v>ไม่เกินเกณฑ์</x:v>
      </x:c>
      <x:c r="N9" s="24" t="str">
        <x:f>IF(E9&gt;H9,"เกินเกณฑ์",IF(E9=H9,"เท่ากับเกณฑ์","ไม่เกินเกณฑ์"))</x:f>
        <x:v>ไม่เกินเกณฑ์</x:v>
      </x:c>
      <x:c r="O9" s="24" t="str">
        <x:f>IF(F9&gt;I9,"เกินเกณฑ์",IF(F9=I9,"เท่ากับเกณฑ์","ไม่เกินเกณฑ์"))</x:f>
        <x:v>เกินเกณฑ์</x:v>
      </x:c>
      <x:c r="P9" s="24" t="n">
        <x:f>--(D9&gt;G9)+--(E9&gt;H9)+--(F9&gt;I9)</x:f>
        <x:v>1</x:v>
      </x:c>
      <x:c r="Q9" s="38" t="n">
        <x:f>MAX(J9:L9)</x:f>
        <x:v>1.01</x:v>
      </x:c>
      <x:c r="R9" s="25" t="str">
        <x:f>IF(P9=0,"ไม่เกินเกณฑ์",IF(P9=1,"เกิน 1 สาร",IF(P9=2,"เกิน 2 สาร","เกิน 3 สาร")))</x:f>
        <x:v>เกิน 1 สาร</x:v>
      </x:c>
    </x:row>
    <x:row r="10">
      <x:c r="A10" s="23" t="str">
        <x:v>Cig009</x:v>
      </x:c>
      <x:c r="B10" s="24" t="str">
        <x:v>Cigarette</x:v>
      </x:c>
      <x:c r="C10" s="24" t="n">
        <x:v>2568</x:v>
      </x:c>
      <x:c r="D10" s="24" t="n">
        <x:v>5.8</x:v>
      </x:c>
      <x:c r="E10" s="24" t="n">
        <x:v>0.36</x:v>
      </x:c>
      <x:c r="F10" s="24" t="n">
        <x:v>5.8</x:v>
      </x:c>
      <x:c r="G10" s="24" t="n">
        <x:v>10</x:v>
      </x:c>
      <x:c r="H10" s="24" t="n">
        <x:v>1</x:v>
      </x:c>
      <x:c r="I10" s="24" t="n">
        <x:v>10</x:v>
      </x:c>
      <x:c r="J10" s="38" t="n">
        <x:f>IFERROR(D10/G10,"")</x:f>
        <x:v>0.58</x:v>
      </x:c>
      <x:c r="K10" s="38" t="n">
        <x:f>IFERROR(E10/H10,"")</x:f>
        <x:v>0.36</x:v>
      </x:c>
      <x:c r="L10" s="38" t="n">
        <x:f>IFERROR(F10/I10,"")</x:f>
        <x:v>0.58</x:v>
      </x:c>
      <x:c r="M10" s="24" t="str">
        <x:f>IF(D10&gt;G10,"เกินเกณฑ์",IF(D10=G10,"เท่ากับเกณฑ์","ไม่เกินเกณฑ์"))</x:f>
        <x:v>ไม่เกินเกณฑ์</x:v>
      </x:c>
      <x:c r="N10" s="24" t="str">
        <x:f>IF(E10&gt;H10,"เกินเกณฑ์",IF(E10=H10,"เท่ากับเกณฑ์","ไม่เกินเกณฑ์"))</x:f>
        <x:v>ไม่เกินเกณฑ์</x:v>
      </x:c>
      <x:c r="O10" s="24" t="str">
        <x:f>IF(F10&gt;I10,"เกินเกณฑ์",IF(F10=I10,"เท่ากับเกณฑ์","ไม่เกินเกณฑ์"))</x:f>
        <x:v>ไม่เกินเกณฑ์</x:v>
      </x:c>
      <x:c r="P10" s="24" t="n">
        <x:f>--(D10&gt;G10)+--(E10&gt;H10)+--(F10&gt;I10)</x:f>
        <x:v>0</x:v>
      </x:c>
      <x:c r="Q10" s="38" t="n">
        <x:f>MAX(J10:L10)</x:f>
        <x:v>0.58</x:v>
      </x:c>
      <x:c r="R10" s="25" t="str">
        <x:f>IF(P10=0,"ไม่เกินเกณฑ์",IF(P10=1,"เกิน 1 สาร",IF(P10=2,"เกิน 2 สาร","เกิน 3 สาร")))</x:f>
        <x:v>ไม่เกินเกณฑ์</x:v>
      </x:c>
    </x:row>
    <x:row r="11">
      <x:c r="A11" s="23" t="str">
        <x:v>Cig010</x:v>
      </x:c>
      <x:c r="B11" s="24" t="str">
        <x:v>Cigarette</x:v>
      </x:c>
      <x:c r="C11" s="24" t="n">
        <x:v>2568</x:v>
      </x:c>
      <x:c r="D11" s="24" t="n">
        <x:v>11.8</x:v>
      </x:c>
      <x:c r="E11" s="24" t="n">
        <x:v>0.45</x:v>
      </x:c>
      <x:c r="F11" s="24" t="n">
        <x:v>9.3</x:v>
      </x:c>
      <x:c r="G11" s="24" t="n">
        <x:v>10</x:v>
      </x:c>
      <x:c r="H11" s="24" t="n">
        <x:v>1</x:v>
      </x:c>
      <x:c r="I11" s="24" t="n">
        <x:v>10</x:v>
      </x:c>
      <x:c r="J11" s="38" t="n">
        <x:f>IFERROR(D11/G11,"")</x:f>
        <x:v>1.1800000000000002</x:v>
      </x:c>
      <x:c r="K11" s="38" t="n">
        <x:f>IFERROR(E11/H11,"")</x:f>
        <x:v>0.45</x:v>
      </x:c>
      <x:c r="L11" s="38" t="n">
        <x:f>IFERROR(F11/I11,"")</x:f>
        <x:v>0.93</x:v>
      </x:c>
      <x:c r="M11" s="24" t="str">
        <x:f>IF(D11&gt;G11,"เกินเกณฑ์",IF(D11=G11,"เท่ากับเกณฑ์","ไม่เกินเกณฑ์"))</x:f>
        <x:v>เกินเกณฑ์</x:v>
      </x:c>
      <x:c r="N11" s="24" t="str">
        <x:f>IF(E11&gt;H11,"เกินเกณฑ์",IF(E11=H11,"เท่ากับเกณฑ์","ไม่เกินเกณฑ์"))</x:f>
        <x:v>ไม่เกินเกณฑ์</x:v>
      </x:c>
      <x:c r="O11" s="24" t="str">
        <x:f>IF(F11&gt;I11,"เกินเกณฑ์",IF(F11=I11,"เท่ากับเกณฑ์","ไม่เกินเกณฑ์"))</x:f>
        <x:v>ไม่เกินเกณฑ์</x:v>
      </x:c>
      <x:c r="P11" s="24" t="n">
        <x:f>--(D11&gt;G11)+--(E11&gt;H11)+--(F11&gt;I11)</x:f>
        <x:v>1</x:v>
      </x:c>
      <x:c r="Q11" s="38" t="n">
        <x:f>MAX(J11:L11)</x:f>
        <x:v>1.1800000000000002</x:v>
      </x:c>
      <x:c r="R11" s="25" t="str">
        <x:f>IF(P11=0,"ไม่เกินเกณฑ์",IF(P11=1,"เกิน 1 สาร",IF(P11=2,"เกิน 2 สาร","เกิน 3 สาร")))</x:f>
        <x:v>เกิน 1 สาร</x:v>
      </x:c>
    </x:row>
    <x:row r="12">
      <x:c r="A12" s="23" t="str">
        <x:v>Cig011</x:v>
      </x:c>
      <x:c r="B12" s="24" t="str">
        <x:v>Cigarette</x:v>
      </x:c>
      <x:c r="C12" s="24" t="n">
        <x:v>2568</x:v>
      </x:c>
      <x:c r="D12" s="24" t="n">
        <x:v>11.6</x:v>
      </x:c>
      <x:c r="E12" s="24" t="n">
        <x:v>0.81</x:v>
      </x:c>
      <x:c r="F12" s="24" t="n">
        <x:v>9.6</x:v>
      </x:c>
      <x:c r="G12" s="24" t="n">
        <x:v>10</x:v>
      </x:c>
      <x:c r="H12" s="24" t="n">
        <x:v>1</x:v>
      </x:c>
      <x:c r="I12" s="24" t="n">
        <x:v>10</x:v>
      </x:c>
      <x:c r="J12" s="38" t="n">
        <x:f>IFERROR(D12/G12,"")</x:f>
        <x:v>1.16</x:v>
      </x:c>
      <x:c r="K12" s="38" t="n">
        <x:f>IFERROR(E12/H12,"")</x:f>
        <x:v>0.81</x:v>
      </x:c>
      <x:c r="L12" s="38" t="n">
        <x:f>IFERROR(F12/I12,"")</x:f>
        <x:v>0.96</x:v>
      </x:c>
      <x:c r="M12" s="24" t="str">
        <x:f>IF(D12&gt;G12,"เกินเกณฑ์",IF(D12=G12,"เท่ากับเกณฑ์","ไม่เกินเกณฑ์"))</x:f>
        <x:v>เกินเกณฑ์</x:v>
      </x:c>
      <x:c r="N12" s="24" t="str">
        <x:f>IF(E12&gt;H12,"เกินเกณฑ์",IF(E12=H12,"เท่ากับเกณฑ์","ไม่เกินเกณฑ์"))</x:f>
        <x:v>ไม่เกินเกณฑ์</x:v>
      </x:c>
      <x:c r="O12" s="24" t="str">
        <x:f>IF(F12&gt;I12,"เกินเกณฑ์",IF(F12=I12,"เท่ากับเกณฑ์","ไม่เกินเกณฑ์"))</x:f>
        <x:v>ไม่เกินเกณฑ์</x:v>
      </x:c>
      <x:c r="P12" s="24" t="n">
        <x:f>--(D12&gt;G12)+--(E12&gt;H12)+--(F12&gt;I12)</x:f>
        <x:v>1</x:v>
      </x:c>
      <x:c r="Q12" s="38" t="n">
        <x:f>MAX(J12:L12)</x:f>
        <x:v>1.16</x:v>
      </x:c>
      <x:c r="R12" s="25" t="str">
        <x:f>IF(P12=0,"ไม่เกินเกณฑ์",IF(P12=1,"เกิน 1 สาร",IF(P12=2,"เกิน 2 สาร","เกิน 3 สาร")))</x:f>
        <x:v>เกิน 1 สาร</x:v>
      </x:c>
    </x:row>
    <x:row r="13">
      <x:c r="A13" s="23" t="str">
        <x:v>Cig012</x:v>
      </x:c>
      <x:c r="B13" s="24" t="str">
        <x:v>Cigarette</x:v>
      </x:c>
      <x:c r="C13" s="24" t="n">
        <x:v>2568</x:v>
      </x:c>
      <x:c r="D13" s="24" t="n">
        <x:v>9.1</x:v>
      </x:c>
      <x:c r="E13" s="24" t="n">
        <x:v>0.85</x:v>
      </x:c>
      <x:c r="F13" s="24" t="n">
        <x:v>10.1</x:v>
      </x:c>
      <x:c r="G13" s="24" t="n">
        <x:v>10</x:v>
      </x:c>
      <x:c r="H13" s="24" t="n">
        <x:v>1</x:v>
      </x:c>
      <x:c r="I13" s="24" t="n">
        <x:v>10</x:v>
      </x:c>
      <x:c r="J13" s="38" t="n">
        <x:f>IFERROR(D13/G13,"")</x:f>
        <x:v>0.9099999999999999</x:v>
      </x:c>
      <x:c r="K13" s="38" t="n">
        <x:f>IFERROR(E13/H13,"")</x:f>
        <x:v>0.85</x:v>
      </x:c>
      <x:c r="L13" s="38" t="n">
        <x:f>IFERROR(F13/I13,"")</x:f>
        <x:v>1.01</x:v>
      </x:c>
      <x:c r="M13" s="24" t="str">
        <x:f>IF(D13&gt;G13,"เกินเกณฑ์",IF(D13=G13,"เท่ากับเกณฑ์","ไม่เกินเกณฑ์"))</x:f>
        <x:v>ไม่เกินเกณฑ์</x:v>
      </x:c>
      <x:c r="N13" s="24" t="str">
        <x:f>IF(E13&gt;H13,"เกินเกณฑ์",IF(E13=H13,"เท่ากับเกณฑ์","ไม่เกินเกณฑ์"))</x:f>
        <x:v>ไม่เกินเกณฑ์</x:v>
      </x:c>
      <x:c r="O13" s="24" t="str">
        <x:f>IF(F13&gt;I13,"เกินเกณฑ์",IF(F13=I13,"เท่ากับเกณฑ์","ไม่เกินเกณฑ์"))</x:f>
        <x:v>เกินเกณฑ์</x:v>
      </x:c>
      <x:c r="P13" s="24" t="n">
        <x:f>--(D13&gt;G13)+--(E13&gt;H13)+--(F13&gt;I13)</x:f>
        <x:v>1</x:v>
      </x:c>
      <x:c r="Q13" s="38" t="n">
        <x:f>MAX(J13:L13)</x:f>
        <x:v>1.01</x:v>
      </x:c>
      <x:c r="R13" s="25" t="str">
        <x:f>IF(P13=0,"ไม่เกินเกณฑ์",IF(P13=1,"เกิน 1 สาร",IF(P13=2,"เกิน 2 สาร","เกิน 3 สาร")))</x:f>
        <x:v>เกิน 1 สาร</x:v>
      </x:c>
    </x:row>
    <x:row r="14">
      <x:c r="A14" s="23" t="str">
        <x:v>Cig013</x:v>
      </x:c>
      <x:c r="B14" s="24" t="str">
        <x:v>Cigarette</x:v>
      </x:c>
      <x:c r="C14" s="24" t="n">
        <x:v>2568</x:v>
      </x:c>
      <x:c r="D14" s="24" t="n">
        <x:v>8.9</x:v>
      </x:c>
      <x:c r="E14" s="24" t="n">
        <x:v>0.79</x:v>
      </x:c>
      <x:c r="F14" s="24" t="n">
        <x:v>10.2</x:v>
      </x:c>
      <x:c r="G14" s="24" t="n">
        <x:v>10</x:v>
      </x:c>
      <x:c r="H14" s="24" t="n">
        <x:v>1</x:v>
      </x:c>
      <x:c r="I14" s="24" t="n">
        <x:v>10</x:v>
      </x:c>
      <x:c r="J14" s="38" t="n">
        <x:f>IFERROR(D14/G14,"")</x:f>
        <x:v>0.89</x:v>
      </x:c>
      <x:c r="K14" s="38" t="n">
        <x:f>IFERROR(E14/H14,"")</x:f>
        <x:v>0.79</x:v>
      </x:c>
      <x:c r="L14" s="38" t="n">
        <x:f>IFERROR(F14/I14,"")</x:f>
        <x:v>1.02</x:v>
      </x:c>
      <x:c r="M14" s="24" t="str">
        <x:f>IF(D14&gt;G14,"เกินเกณฑ์",IF(D14=G14,"เท่ากับเกณฑ์","ไม่เกินเกณฑ์"))</x:f>
        <x:v>ไม่เกินเกณฑ์</x:v>
      </x:c>
      <x:c r="N14" s="24" t="str">
        <x:f>IF(E14&gt;H14,"เกินเกณฑ์",IF(E14=H14,"เท่ากับเกณฑ์","ไม่เกินเกณฑ์"))</x:f>
        <x:v>ไม่เกินเกณฑ์</x:v>
      </x:c>
      <x:c r="O14" s="24" t="str">
        <x:f>IF(F14&gt;I14,"เกินเกณฑ์",IF(F14=I14,"เท่ากับเกณฑ์","ไม่เกินเกณฑ์"))</x:f>
        <x:v>เกินเกณฑ์</x:v>
      </x:c>
      <x:c r="P14" s="24" t="n">
        <x:f>--(D14&gt;G14)+--(E14&gt;H14)+--(F14&gt;I14)</x:f>
        <x:v>1</x:v>
      </x:c>
      <x:c r="Q14" s="38" t="n">
        <x:f>MAX(J14:L14)</x:f>
        <x:v>1.02</x:v>
      </x:c>
      <x:c r="R14" s="25" t="str">
        <x:f>IF(P14=0,"ไม่เกินเกณฑ์",IF(P14=1,"เกิน 1 สาร",IF(P14=2,"เกิน 2 สาร","เกิน 3 สาร")))</x:f>
        <x:v>เกิน 1 สาร</x:v>
      </x:c>
    </x:row>
    <x:row r="15">
      <x:c r="A15" s="23" t="str">
        <x:v>Cig014</x:v>
      </x:c>
      <x:c r="B15" s="24" t="str">
        <x:v>Cigarette</x:v>
      </x:c>
      <x:c r="C15" s="24" t="n">
        <x:v>2568</x:v>
      </x:c>
      <x:c r="D15" s="24" t="n">
        <x:v>6.9</x:v>
      </x:c>
      <x:c r="E15" s="24" t="n">
        <x:v>0.46</x:v>
      </x:c>
      <x:c r="F15" s="24" t="n">
        <x:v>10.1</x:v>
      </x:c>
      <x:c r="G15" s="24" t="n">
        <x:v>10</x:v>
      </x:c>
      <x:c r="H15" s="24" t="n">
        <x:v>1</x:v>
      </x:c>
      <x:c r="I15" s="24" t="n">
        <x:v>10</x:v>
      </x:c>
      <x:c r="J15" s="38" t="n">
        <x:f>IFERROR(D15/G15,"")</x:f>
        <x:v>0.6900000000000001</x:v>
      </x:c>
      <x:c r="K15" s="38" t="n">
        <x:f>IFERROR(E15/H15,"")</x:f>
        <x:v>0.46</x:v>
      </x:c>
      <x:c r="L15" s="38" t="n">
        <x:f>IFERROR(F15/I15,"")</x:f>
        <x:v>1.01</x:v>
      </x:c>
      <x:c r="M15" s="24" t="str">
        <x:f>IF(D15&gt;G15,"เกินเกณฑ์",IF(D15=G15,"เท่ากับเกณฑ์","ไม่เกินเกณฑ์"))</x:f>
        <x:v>ไม่เกินเกณฑ์</x:v>
      </x:c>
      <x:c r="N15" s="24" t="str">
        <x:f>IF(E15&gt;H15,"เกินเกณฑ์",IF(E15=H15,"เท่ากับเกณฑ์","ไม่เกินเกณฑ์"))</x:f>
        <x:v>ไม่เกินเกณฑ์</x:v>
      </x:c>
      <x:c r="O15" s="24" t="str">
        <x:f>IF(F15&gt;I15,"เกินเกณฑ์",IF(F15=I15,"เท่ากับเกณฑ์","ไม่เกินเกณฑ์"))</x:f>
        <x:v>เกินเกณฑ์</x:v>
      </x:c>
      <x:c r="P15" s="24" t="n">
        <x:f>--(D15&gt;G15)+--(E15&gt;H15)+--(F15&gt;I15)</x:f>
        <x:v>1</x:v>
      </x:c>
      <x:c r="Q15" s="38" t="n">
        <x:f>MAX(J15:L15)</x:f>
        <x:v>1.01</x:v>
      </x:c>
      <x:c r="R15" s="25" t="str">
        <x:f>IF(P15=0,"ไม่เกินเกณฑ์",IF(P15=1,"เกิน 1 สาร",IF(P15=2,"เกิน 2 สาร","เกิน 3 สาร")))</x:f>
        <x:v>เกิน 1 สาร</x:v>
      </x:c>
    </x:row>
    <x:row r="16">
      <x:c r="A16" s="23" t="str">
        <x:v>Ci001</x:v>
      </x:c>
      <x:c r="B16" s="24" t="str">
        <x:v>Cigar</x:v>
      </x:c>
      <x:c r="C16" s="24" t="n">
        <x:v>2568</x:v>
      </x:c>
      <x:c r="D16" s="24" t="n">
        <x:v>8.13</x:v>
      </x:c>
      <x:c r="E16" s="24" t="n">
        <x:v>0.98</x:v>
      </x:c>
      <x:c r="F16" s="24" t="n">
        <x:v>9.16</x:v>
      </x:c>
      <x:c r="G16" s="24" t="n">
        <x:v>10</x:v>
      </x:c>
      <x:c r="H16" s="24" t="n">
        <x:v>1</x:v>
      </x:c>
      <x:c r="I16" s="24" t="n">
        <x:v>10</x:v>
      </x:c>
      <x:c r="J16" s="38" t="n">
        <x:f>IFERROR(D16/G16,"")</x:f>
        <x:v>0.8130000000000001</x:v>
      </x:c>
      <x:c r="K16" s="38" t="n">
        <x:f>IFERROR(E16/H16,"")</x:f>
        <x:v>0.98</x:v>
      </x:c>
      <x:c r="L16" s="38" t="n">
        <x:f>IFERROR(F16/I16,"")</x:f>
        <x:v>0.916</x:v>
      </x:c>
      <x:c r="M16" s="24" t="str">
        <x:f>IF(D16&gt;G16,"เกินเกณฑ์",IF(D16=G16,"เท่ากับเกณฑ์","ไม่เกินเกณฑ์"))</x:f>
        <x:v>ไม่เกินเกณฑ์</x:v>
      </x:c>
      <x:c r="N16" s="24" t="str">
        <x:f>IF(E16&gt;H16,"เกินเกณฑ์",IF(E16=H16,"เท่ากับเกณฑ์","ไม่เกินเกณฑ์"))</x:f>
        <x:v>ไม่เกินเกณฑ์</x:v>
      </x:c>
      <x:c r="O16" s="24" t="str">
        <x:f>IF(F16&gt;I16,"เกินเกณฑ์",IF(F16=I16,"เท่ากับเกณฑ์","ไม่เกินเกณฑ์"))</x:f>
        <x:v>ไม่เกินเกณฑ์</x:v>
      </x:c>
      <x:c r="P16" s="24" t="n">
        <x:f>--(D16&gt;G16)+--(E16&gt;H16)+--(F16&gt;I16)</x:f>
        <x:v>0</x:v>
      </x:c>
      <x:c r="Q16" s="38" t="n">
        <x:f>MAX(J16:L16)</x:f>
        <x:v>0.98</x:v>
      </x:c>
      <x:c r="R16" s="25" t="str">
        <x:f>IF(P16=0,"ไม่เกินเกณฑ์",IF(P16=1,"เกิน 1 สาร",IF(P16=2,"เกิน 2 สาร","เกิน 3 สาร")))</x:f>
        <x:v>ไม่เกินเกณฑ์</x:v>
      </x:c>
    </x:row>
    <x:row r="17">
      <x:c r="A17" s="23" t="str">
        <x:v>Ci002</x:v>
      </x:c>
      <x:c r="B17" s="24" t="str">
        <x:v>Cigar</x:v>
      </x:c>
      <x:c r="C17" s="24" t="n">
        <x:v>2568</x:v>
      </x:c>
      <x:c r="D17" s="24" t="n">
        <x:v>9.45</x:v>
      </x:c>
      <x:c r="E17" s="24" t="n">
        <x:v>0.86</x:v>
      </x:c>
      <x:c r="F17" s="24" t="n">
        <x:v>8.97</x:v>
      </x:c>
      <x:c r="G17" s="24" t="n">
        <x:v>10</x:v>
      </x:c>
      <x:c r="H17" s="24" t="n">
        <x:v>1</x:v>
      </x:c>
      <x:c r="I17" s="24" t="n">
        <x:v>10</x:v>
      </x:c>
      <x:c r="J17" s="38" t="n">
        <x:f>IFERROR(D17/G17,"")</x:f>
        <x:v>0.945</x:v>
      </x:c>
      <x:c r="K17" s="38" t="n">
        <x:f>IFERROR(E17/H17,"")</x:f>
        <x:v>0.86</x:v>
      </x:c>
      <x:c r="L17" s="38" t="n">
        <x:f>IFERROR(F17/I17,"")</x:f>
        <x:v>0.897</x:v>
      </x:c>
      <x:c r="M17" s="24" t="str">
        <x:f>IF(D17&gt;G17,"เกินเกณฑ์",IF(D17=G17,"เท่ากับเกณฑ์","ไม่เกินเกณฑ์"))</x:f>
        <x:v>ไม่เกินเกณฑ์</x:v>
      </x:c>
      <x:c r="N17" s="24" t="str">
        <x:f>IF(E17&gt;H17,"เกินเกณฑ์",IF(E17=H17,"เท่ากับเกณฑ์","ไม่เกินเกณฑ์"))</x:f>
        <x:v>ไม่เกินเกณฑ์</x:v>
      </x:c>
      <x:c r="O17" s="24" t="str">
        <x:f>IF(F17&gt;I17,"เกินเกณฑ์",IF(F17=I17,"เท่ากับเกณฑ์","ไม่เกินเกณฑ์"))</x:f>
        <x:v>ไม่เกินเกณฑ์</x:v>
      </x:c>
      <x:c r="P17" s="24" t="n">
        <x:f>--(D17&gt;G17)+--(E17&gt;H17)+--(F17&gt;I17)</x:f>
        <x:v>0</x:v>
      </x:c>
      <x:c r="Q17" s="38" t="n">
        <x:f>MAX(J17:L17)</x:f>
        <x:v>0.945</x:v>
      </x:c>
      <x:c r="R17" s="25" t="str">
        <x:f>IF(P17=0,"ไม่เกินเกณฑ์",IF(P17=1,"เกิน 1 สาร",IF(P17=2,"เกิน 2 สาร","เกิน 3 สาร")))</x:f>
        <x:v>ไม่เกินเกณฑ์</x:v>
      </x:c>
    </x:row>
    <x:row r="18">
      <x:c r="A18" s="23" t="str">
        <x:v>Cig001</x:v>
      </x:c>
      <x:c r="B18" s="24" t="str">
        <x:v>Cigarette</x:v>
      </x:c>
      <x:c r="C18" s="24" t="n">
        <x:v>2569</x:v>
      </x:c>
      <x:c r="D18" s="24" t="n">
        <x:v>6.8</x:v>
      </x:c>
      <x:c r="E18" s="24" t="n">
        <x:v>0.7</x:v>
      </x:c>
      <x:c r="F18" s="24" t="n">
        <x:v>4.7</x:v>
      </x:c>
      <x:c r="G18" s="24" t="n">
        <x:v>10</x:v>
      </x:c>
      <x:c r="H18" s="24" t="n">
        <x:v>1</x:v>
      </x:c>
      <x:c r="I18" s="24" t="n">
        <x:v>10</x:v>
      </x:c>
      <x:c r="J18" s="38" t="n">
        <x:f>IFERROR(D18/G18,"")</x:f>
        <x:v>0.6799999999999999</x:v>
      </x:c>
      <x:c r="K18" s="38" t="n">
        <x:f>IFERROR(E18/H18,"")</x:f>
        <x:v>0.7</x:v>
      </x:c>
      <x:c r="L18" s="38" t="n">
        <x:f>IFERROR(F18/I18,"")</x:f>
        <x:v>0.47000000000000003</x:v>
      </x:c>
      <x:c r="M18" s="24" t="str">
        <x:f>IF(D18&gt;G18,"เกินเกณฑ์",IF(D18=G18,"เท่ากับเกณฑ์","ไม่เกินเกณฑ์"))</x:f>
        <x:v>ไม่เกินเกณฑ์</x:v>
      </x:c>
      <x:c r="N18" s="24" t="str">
        <x:f>IF(E18&gt;H18,"เกินเกณฑ์",IF(E18=H18,"เท่ากับเกณฑ์","ไม่เกินเกณฑ์"))</x:f>
        <x:v>ไม่เกินเกณฑ์</x:v>
      </x:c>
      <x:c r="O18" s="24" t="str">
        <x:f>IF(F18&gt;I18,"เกินเกณฑ์",IF(F18=I18,"เท่ากับเกณฑ์","ไม่เกินเกณฑ์"))</x:f>
        <x:v>ไม่เกินเกณฑ์</x:v>
      </x:c>
      <x:c r="P18" s="24" t="n">
        <x:f>--(D18&gt;G18)+--(E18&gt;H18)+--(F18&gt;I18)</x:f>
        <x:v>0</x:v>
      </x:c>
      <x:c r="Q18" s="38" t="n">
        <x:f>MAX(J18:L18)</x:f>
        <x:v>0.7</x:v>
      </x:c>
      <x:c r="R18" s="25" t="str">
        <x:f>IF(P18=0,"ไม่เกินเกณฑ์",IF(P18=1,"เกิน 1 สาร",IF(P18=2,"เกิน 2 สาร","เกิน 3 สาร")))</x:f>
        <x:v>ไม่เกินเกณฑ์</x:v>
      </x:c>
    </x:row>
    <x:row r="19">
      <x:c r="A19" s="23" t="str">
        <x:v>Cig002</x:v>
      </x:c>
      <x:c r="B19" s="24" t="str">
        <x:v>Cigarette</x:v>
      </x:c>
      <x:c r="C19" s="24" t="n">
        <x:v>2569</x:v>
      </x:c>
      <x:c r="D19" s="24" t="n">
        <x:v>7</x:v>
      </x:c>
      <x:c r="E19" s="24" t="n">
        <x:v>0.67</x:v>
      </x:c>
      <x:c r="F19" s="24" t="n">
        <x:v>4.8</x:v>
      </x:c>
      <x:c r="G19" s="24" t="n">
        <x:v>10</x:v>
      </x:c>
      <x:c r="H19" s="24" t="n">
        <x:v>1</x:v>
      </x:c>
      <x:c r="I19" s="24" t="n">
        <x:v>10</x:v>
      </x:c>
      <x:c r="J19" s="38" t="n">
        <x:f>IFERROR(D19/G19,"")</x:f>
        <x:v>0.7</x:v>
      </x:c>
      <x:c r="K19" s="38" t="n">
        <x:f>IFERROR(E19/H19,"")</x:f>
        <x:v>0.67</x:v>
      </x:c>
      <x:c r="L19" s="38" t="n">
        <x:f>IFERROR(F19/I19,"")</x:f>
        <x:v>0.48</x:v>
      </x:c>
      <x:c r="M19" s="24" t="str">
        <x:f>IF(D19&gt;G19,"เกินเกณฑ์",IF(D19=G19,"เท่ากับเกณฑ์","ไม่เกินเกณฑ์"))</x:f>
        <x:v>ไม่เกินเกณฑ์</x:v>
      </x:c>
      <x:c r="N19" s="24" t="str">
        <x:f>IF(E19&gt;H19,"เกินเกณฑ์",IF(E19=H19,"เท่ากับเกณฑ์","ไม่เกินเกณฑ์"))</x:f>
        <x:v>ไม่เกินเกณฑ์</x:v>
      </x:c>
      <x:c r="O19" s="24" t="str">
        <x:f>IF(F19&gt;I19,"เกินเกณฑ์",IF(F19=I19,"เท่ากับเกณฑ์","ไม่เกินเกณฑ์"))</x:f>
        <x:v>ไม่เกินเกณฑ์</x:v>
      </x:c>
      <x:c r="P19" s="24" t="n">
        <x:f>--(D19&gt;G19)+--(E19&gt;H19)+--(F19&gt;I19)</x:f>
        <x:v>0</x:v>
      </x:c>
      <x:c r="Q19" s="38" t="n">
        <x:f>MAX(J19:L19)</x:f>
        <x:v>0.7</x:v>
      </x:c>
      <x:c r="R19" s="25" t="str">
        <x:f>IF(P19=0,"ไม่เกินเกณฑ์",IF(P19=1,"เกิน 1 สาร",IF(P19=2,"เกิน 2 สาร","เกิน 3 สาร")))</x:f>
        <x:v>ไม่เกินเกณฑ์</x:v>
      </x:c>
    </x:row>
    <x:row r="20">
      <x:c r="A20" s="23" t="str">
        <x:v>Cig003</x:v>
      </x:c>
      <x:c r="B20" s="24" t="str">
        <x:v>Cigarette</x:v>
      </x:c>
      <x:c r="C20" s="24" t="n">
        <x:v>2569</x:v>
      </x:c>
      <x:c r="D20" s="24" t="n">
        <x:v>7.9</x:v>
      </x:c>
      <x:c r="E20" s="24" t="n">
        <x:v>0.77</x:v>
      </x:c>
      <x:c r="F20" s="24" t="n">
        <x:v>9.4</x:v>
      </x:c>
      <x:c r="G20" s="24" t="n">
        <x:v>10</x:v>
      </x:c>
      <x:c r="H20" s="24" t="n">
        <x:v>1</x:v>
      </x:c>
      <x:c r="I20" s="24" t="n">
        <x:v>10</x:v>
      </x:c>
      <x:c r="J20" s="38" t="n">
        <x:f>IFERROR(D20/G20,"")</x:f>
        <x:v>0.79</x:v>
      </x:c>
      <x:c r="K20" s="38" t="n">
        <x:f>IFERROR(E20/H20,"")</x:f>
        <x:v>0.77</x:v>
      </x:c>
      <x:c r="L20" s="38" t="n">
        <x:f>IFERROR(F20/I20,"")</x:f>
        <x:v>0.9400000000000001</x:v>
      </x:c>
      <x:c r="M20" s="24" t="str">
        <x:f>IF(D20&gt;G20,"เกินเกณฑ์",IF(D20=G20,"เท่ากับเกณฑ์","ไม่เกินเกณฑ์"))</x:f>
        <x:v>ไม่เกินเกณฑ์</x:v>
      </x:c>
      <x:c r="N20" s="24" t="str">
        <x:f>IF(E20&gt;H20,"เกินเกณฑ์",IF(E20=H20,"เท่ากับเกณฑ์","ไม่เกินเกณฑ์"))</x:f>
        <x:v>ไม่เกินเกณฑ์</x:v>
      </x:c>
      <x:c r="O20" s="24" t="str">
        <x:f>IF(F20&gt;I20,"เกินเกณฑ์",IF(F20=I20,"เท่ากับเกณฑ์","ไม่เกินเกณฑ์"))</x:f>
        <x:v>ไม่เกินเกณฑ์</x:v>
      </x:c>
      <x:c r="P20" s="24" t="n">
        <x:f>--(D20&gt;G20)+--(E20&gt;H20)+--(F20&gt;I20)</x:f>
        <x:v>0</x:v>
      </x:c>
      <x:c r="Q20" s="38" t="n">
        <x:f>MAX(J20:L20)</x:f>
        <x:v>0.9400000000000001</x:v>
      </x:c>
      <x:c r="R20" s="25" t="str">
        <x:f>IF(P20=0,"ไม่เกินเกณฑ์",IF(P20=1,"เกิน 1 สาร",IF(P20=2,"เกิน 2 สาร","เกิน 3 สาร")))</x:f>
        <x:v>ไม่เกินเกณฑ์</x:v>
      </x:c>
    </x:row>
    <x:row r="21">
      <x:c r="A21" s="23" t="str">
        <x:v>Cig004</x:v>
      </x:c>
      <x:c r="B21" s="24" t="str">
        <x:v>Cigarette</x:v>
      </x:c>
      <x:c r="C21" s="24" t="n">
        <x:v>2569</x:v>
      </x:c>
      <x:c r="D21" s="24" t="n">
        <x:v>10.4</x:v>
      </x:c>
      <x:c r="E21" s="24" t="n">
        <x:v>0.95</x:v>
      </x:c>
      <x:c r="F21" s="24" t="n">
        <x:v>11</x:v>
      </x:c>
      <x:c r="G21" s="24" t="n">
        <x:v>10</x:v>
      </x:c>
      <x:c r="H21" s="24" t="n">
        <x:v>1</x:v>
      </x:c>
      <x:c r="I21" s="24" t="n">
        <x:v>10</x:v>
      </x:c>
      <x:c r="J21" s="38" t="n">
        <x:f>IFERROR(D21/G21,"")</x:f>
        <x:v>1.04</x:v>
      </x:c>
      <x:c r="K21" s="38" t="n">
        <x:f>IFERROR(E21/H21,"")</x:f>
        <x:v>0.95</x:v>
      </x:c>
      <x:c r="L21" s="38" t="n">
        <x:f>IFERROR(F21/I21,"")</x:f>
        <x:v>1.1</x:v>
      </x:c>
      <x:c r="M21" s="24" t="str">
        <x:f>IF(D21&gt;G21,"เกินเกณฑ์",IF(D21=G21,"เท่ากับเกณฑ์","ไม่เกินเกณฑ์"))</x:f>
        <x:v>เกินเกณฑ์</x:v>
      </x:c>
      <x:c r="N21" s="24" t="str">
        <x:f>IF(E21&gt;H21,"เกินเกณฑ์",IF(E21=H21,"เท่ากับเกณฑ์","ไม่เกินเกณฑ์"))</x:f>
        <x:v>ไม่เกินเกณฑ์</x:v>
      </x:c>
      <x:c r="O21" s="24" t="str">
        <x:f>IF(F21&gt;I21,"เกินเกณฑ์",IF(F21=I21,"เท่ากับเกณฑ์","ไม่เกินเกณฑ์"))</x:f>
        <x:v>เกินเกณฑ์</x:v>
      </x:c>
      <x:c r="P21" s="24" t="n">
        <x:f>--(D21&gt;G21)+--(E21&gt;H21)+--(F21&gt;I21)</x:f>
        <x:v>2</x:v>
      </x:c>
      <x:c r="Q21" s="38" t="n">
        <x:f>MAX(J21:L21)</x:f>
        <x:v>1.1</x:v>
      </x:c>
      <x:c r="R21" s="25" t="str">
        <x:f>IF(P21=0,"ไม่เกินเกณฑ์",IF(P21=1,"เกิน 1 สาร",IF(P21=2,"เกิน 2 สาร","เกิน 3 สาร")))</x:f>
        <x:v>เกิน 2 สาร</x:v>
      </x:c>
    </x:row>
    <x:row r="22">
      <x:c r="A22" s="23" t="str">
        <x:v>Cig005</x:v>
      </x:c>
      <x:c r="B22" s="24" t="str">
        <x:v>Cigarette</x:v>
      </x:c>
      <x:c r="C22" s="24" t="n">
        <x:v>2569</x:v>
      </x:c>
      <x:c r="D22" s="24" t="n">
        <x:v>11.6</x:v>
      </x:c>
      <x:c r="E22" s="24" t="n">
        <x:v>0.9</x:v>
      </x:c>
      <x:c r="F22" s="24" t="n">
        <x:v>12.5</x:v>
      </x:c>
      <x:c r="G22" s="24" t="n">
        <x:v>10</x:v>
      </x:c>
      <x:c r="H22" s="24" t="n">
        <x:v>1</x:v>
      </x:c>
      <x:c r="I22" s="24" t="n">
        <x:v>10</x:v>
      </x:c>
      <x:c r="J22" s="38" t="n">
        <x:f>IFERROR(D22/G22,"")</x:f>
        <x:v>1.16</x:v>
      </x:c>
      <x:c r="K22" s="38" t="n">
        <x:f>IFERROR(E22/H22,"")</x:f>
        <x:v>0.9</x:v>
      </x:c>
      <x:c r="L22" s="38" t="n">
        <x:f>IFERROR(F22/I22,"")</x:f>
        <x:v>1.25</x:v>
      </x:c>
      <x:c r="M22" s="24" t="str">
        <x:f>IF(D22&gt;G22,"เกินเกณฑ์",IF(D22=G22,"เท่ากับเกณฑ์","ไม่เกินเกณฑ์"))</x:f>
        <x:v>เกินเกณฑ์</x:v>
      </x:c>
      <x:c r="N22" s="24" t="str">
        <x:f>IF(E22&gt;H22,"เกินเกณฑ์",IF(E22=H22,"เท่ากับเกณฑ์","ไม่เกินเกณฑ์"))</x:f>
        <x:v>ไม่เกินเกณฑ์</x:v>
      </x:c>
      <x:c r="O22" s="24" t="str">
        <x:f>IF(F22&gt;I22,"เกินเกณฑ์",IF(F22=I22,"เท่ากับเกณฑ์","ไม่เกินเกณฑ์"))</x:f>
        <x:v>เกินเกณฑ์</x:v>
      </x:c>
      <x:c r="P22" s="24" t="n">
        <x:f>--(D22&gt;G22)+--(E22&gt;H22)+--(F22&gt;I22)</x:f>
        <x:v>2</x:v>
      </x:c>
      <x:c r="Q22" s="38" t="n">
        <x:f>MAX(J22:L22)</x:f>
        <x:v>1.25</x:v>
      </x:c>
      <x:c r="R22" s="25" t="str">
        <x:f>IF(P22=0,"ไม่เกินเกณฑ์",IF(P22=1,"เกิน 1 สาร",IF(P22=2,"เกิน 2 สาร","เกิน 3 สาร")))</x:f>
        <x:v>เกิน 2 สาร</x:v>
      </x:c>
    </x:row>
    <x:row r="23">
      <x:c r="A23" s="23" t="str">
        <x:v>Cig006</x:v>
      </x:c>
      <x:c r="B23" s="24" t="str">
        <x:v>Cigarette</x:v>
      </x:c>
      <x:c r="C23" s="24" t="n">
        <x:v>2569</x:v>
      </x:c>
      <x:c r="D23" s="24" t="n">
        <x:v>10.4</x:v>
      </x:c>
      <x:c r="E23" s="24" t="n">
        <x:v>1.06</x:v>
      </x:c>
      <x:c r="F23" s="24" t="n">
        <x:v>11.05</x:v>
      </x:c>
      <x:c r="G23" s="24" t="n">
        <x:v>10</x:v>
      </x:c>
      <x:c r="H23" s="24" t="n">
        <x:v>1</x:v>
      </x:c>
      <x:c r="I23" s="24" t="n">
        <x:v>10</x:v>
      </x:c>
      <x:c r="J23" s="38" t="n">
        <x:f>IFERROR(D23/G23,"")</x:f>
        <x:v>1.04</x:v>
      </x:c>
      <x:c r="K23" s="38" t="n">
        <x:f>IFERROR(E23/H23,"")</x:f>
        <x:v>1.06</x:v>
      </x:c>
      <x:c r="L23" s="38" t="n">
        <x:f>IFERROR(F23/I23,"")</x:f>
        <x:v>1.105</x:v>
      </x:c>
      <x:c r="M23" s="24" t="str">
        <x:f>IF(D23&gt;G23,"เกินเกณฑ์",IF(D23=G23,"เท่ากับเกณฑ์","ไม่เกินเกณฑ์"))</x:f>
        <x:v>เกินเกณฑ์</x:v>
      </x:c>
      <x:c r="N23" s="24" t="str">
        <x:f>IF(E23&gt;H23,"เกินเกณฑ์",IF(E23=H23,"เท่ากับเกณฑ์","ไม่เกินเกณฑ์"))</x:f>
        <x:v>เกินเกณฑ์</x:v>
      </x:c>
      <x:c r="O23" s="24" t="str">
        <x:f>IF(F23&gt;I23,"เกินเกณฑ์",IF(F23=I23,"เท่ากับเกณฑ์","ไม่เกินเกณฑ์"))</x:f>
        <x:v>เกินเกณฑ์</x:v>
      </x:c>
      <x:c r="P23" s="24" t="n">
        <x:f>--(D23&gt;G23)+--(E23&gt;H23)+--(F23&gt;I23)</x:f>
        <x:v>3</x:v>
      </x:c>
      <x:c r="Q23" s="38" t="n">
        <x:f>MAX(J23:L23)</x:f>
        <x:v>1.105</x:v>
      </x:c>
      <x:c r="R23" s="25" t="str">
        <x:f>IF(P23=0,"ไม่เกินเกณฑ์",IF(P23=1,"เกิน 1 สาร",IF(P23=2,"เกิน 2 สาร","เกิน 3 สาร")))</x:f>
        <x:v>เกิน 3 สาร</x:v>
      </x:c>
    </x:row>
    <x:row r="24">
      <x:c r="A24" s="23" t="str">
        <x:v>Cig007</x:v>
      </x:c>
      <x:c r="B24" s="24" t="str">
        <x:v>Cigarette</x:v>
      </x:c>
      <x:c r="C24" s="24" t="n">
        <x:v>2569</x:v>
      </x:c>
      <x:c r="D24" s="24" t="n">
        <x:v>11</x:v>
      </x:c>
      <x:c r="E24" s="24" t="n">
        <x:v>1.2</x:v>
      </x:c>
      <x:c r="F24" s="24" t="n">
        <x:v>11</x:v>
      </x:c>
      <x:c r="G24" s="24" t="n">
        <x:v>10</x:v>
      </x:c>
      <x:c r="H24" s="24" t="n">
        <x:v>1</x:v>
      </x:c>
      <x:c r="I24" s="24" t="n">
        <x:v>10</x:v>
      </x:c>
      <x:c r="J24" s="38" t="n">
        <x:f>IFERROR(D24/G24,"")</x:f>
        <x:v>1.1</x:v>
      </x:c>
      <x:c r="K24" s="38" t="n">
        <x:f>IFERROR(E24/H24,"")</x:f>
        <x:v>1.2</x:v>
      </x:c>
      <x:c r="L24" s="38" t="n">
        <x:f>IFERROR(F24/I24,"")</x:f>
        <x:v>1.1</x:v>
      </x:c>
      <x:c r="M24" s="24" t="str">
        <x:f>IF(D24&gt;G24,"เกินเกณฑ์",IF(D24=G24,"เท่ากับเกณฑ์","ไม่เกินเกณฑ์"))</x:f>
        <x:v>เกินเกณฑ์</x:v>
      </x:c>
      <x:c r="N24" s="24" t="str">
        <x:f>IF(E24&gt;H24,"เกินเกณฑ์",IF(E24=H24,"เท่ากับเกณฑ์","ไม่เกินเกณฑ์"))</x:f>
        <x:v>เกินเกณฑ์</x:v>
      </x:c>
      <x:c r="O24" s="24" t="str">
        <x:f>IF(F24&gt;I24,"เกินเกณฑ์",IF(F24=I24,"เท่ากับเกณฑ์","ไม่เกินเกณฑ์"))</x:f>
        <x:v>เกินเกณฑ์</x:v>
      </x:c>
      <x:c r="P24" s="24" t="n">
        <x:f>--(D24&gt;G24)+--(E24&gt;H24)+--(F24&gt;I24)</x:f>
        <x:v>3</x:v>
      </x:c>
      <x:c r="Q24" s="38" t="n">
        <x:f>MAX(J24:L24)</x:f>
        <x:v>1.2</x:v>
      </x:c>
      <x:c r="R24" s="25" t="str">
        <x:f>IF(P24=0,"ไม่เกินเกณฑ์",IF(P24=1,"เกิน 1 สาร",IF(P24=2,"เกิน 2 สาร","เกิน 3 สาร")))</x:f>
        <x:v>เกิน 3 สาร</x:v>
      </x:c>
    </x:row>
    <x:row r="25">
      <x:c r="A25" s="23" t="str">
        <x:v>Cig008</x:v>
      </x:c>
      <x:c r="B25" s="24" t="str">
        <x:v>Cigarette</x:v>
      </x:c>
      <x:c r="C25" s="24" t="n">
        <x:v>2569</x:v>
      </x:c>
      <x:c r="D25" s="24" t="n">
        <x:v>10</x:v>
      </x:c>
      <x:c r="E25" s="24" t="n">
        <x:v>1</x:v>
      </x:c>
      <x:c r="F25" s="24" t="n">
        <x:v>9</x:v>
      </x:c>
      <x:c r="G25" s="24" t="n">
        <x:v>10</x:v>
      </x:c>
      <x:c r="H25" s="24" t="n">
        <x:v>1</x:v>
      </x:c>
      <x:c r="I25" s="24" t="n">
        <x:v>10</x:v>
      </x:c>
      <x:c r="J25" s="38" t="n">
        <x:f>IFERROR(D25/G25,"")</x:f>
        <x:v>1</x:v>
      </x:c>
      <x:c r="K25" s="38" t="n">
        <x:f>IFERROR(E25/H25,"")</x:f>
        <x:v>1</x:v>
      </x:c>
      <x:c r="L25" s="38" t="n">
        <x:f>IFERROR(F25/I25,"")</x:f>
        <x:v>0.9</x:v>
      </x:c>
      <x:c r="M25" s="24" t="str">
        <x:f>IF(D25&gt;G25,"เกินเกณฑ์",IF(D25=G25,"เท่ากับเกณฑ์","ไม่เกินเกณฑ์"))</x:f>
        <x:v>เท่ากับเกณฑ์</x:v>
      </x:c>
      <x:c r="N25" s="24" t="str">
        <x:f>IF(E25&gt;H25,"เกินเกณฑ์",IF(E25=H25,"เท่ากับเกณฑ์","ไม่เกินเกณฑ์"))</x:f>
        <x:v>เท่ากับเกณฑ์</x:v>
      </x:c>
      <x:c r="O25" s="24" t="str">
        <x:f>IF(F25&gt;I25,"เกินเกณฑ์",IF(F25=I25,"เท่ากับเกณฑ์","ไม่เกินเกณฑ์"))</x:f>
        <x:v>ไม่เกินเกณฑ์</x:v>
      </x:c>
      <x:c r="P25" s="24" t="n">
        <x:f>--(D25&gt;G25)+--(E25&gt;H25)+--(F25&gt;I25)</x:f>
        <x:v>0</x:v>
      </x:c>
      <x:c r="Q25" s="38" t="n">
        <x:f>MAX(J25:L25)</x:f>
        <x:v>1</x:v>
      </x:c>
      <x:c r="R25" s="25" t="str">
        <x:f>IF(P25=0,"ไม่เกินเกณฑ์",IF(P25=1,"เกิน 1 สาร",IF(P25=2,"เกิน 2 สาร","เกิน 3 สาร")))</x:f>
        <x:v>ไม่เกินเกณฑ์</x:v>
      </x:c>
    </x:row>
    <x:row r="26">
      <x:c r="A26" s="23" t="str">
        <x:v>Cig009</x:v>
      </x:c>
      <x:c r="B26" s="24" t="str">
        <x:v>Cigarette</x:v>
      </x:c>
      <x:c r="C26" s="24" t="n">
        <x:v>2569</x:v>
      </x:c>
      <x:c r="D26" s="24" t="n">
        <x:v>10</x:v>
      </x:c>
      <x:c r="E26" s="24" t="n">
        <x:v>1</x:v>
      </x:c>
      <x:c r="F26" s="24" t="n">
        <x:v>9</x:v>
      </x:c>
      <x:c r="G26" s="24" t="n">
        <x:v>10</x:v>
      </x:c>
      <x:c r="H26" s="24" t="n">
        <x:v>1</x:v>
      </x:c>
      <x:c r="I26" s="24" t="n">
        <x:v>10</x:v>
      </x:c>
      <x:c r="J26" s="38" t="n">
        <x:f>IFERROR(D26/G26,"")</x:f>
        <x:v>1</x:v>
      </x:c>
      <x:c r="K26" s="38" t="n">
        <x:f>IFERROR(E26/H26,"")</x:f>
        <x:v>1</x:v>
      </x:c>
      <x:c r="L26" s="38" t="n">
        <x:f>IFERROR(F26/I26,"")</x:f>
        <x:v>0.9</x:v>
      </x:c>
      <x:c r="M26" s="24" t="str">
        <x:f>IF(D26&gt;G26,"เกินเกณฑ์",IF(D26=G26,"เท่ากับเกณฑ์","ไม่เกินเกณฑ์"))</x:f>
        <x:v>เท่ากับเกณฑ์</x:v>
      </x:c>
      <x:c r="N26" s="24" t="str">
        <x:f>IF(E26&gt;H26,"เกินเกณฑ์",IF(E26=H26,"เท่ากับเกณฑ์","ไม่เกินเกณฑ์"))</x:f>
        <x:v>เท่ากับเกณฑ์</x:v>
      </x:c>
      <x:c r="O26" s="24" t="str">
        <x:f>IF(F26&gt;I26,"เกินเกณฑ์",IF(F26=I26,"เท่ากับเกณฑ์","ไม่เกินเกณฑ์"))</x:f>
        <x:v>ไม่เกินเกณฑ์</x:v>
      </x:c>
      <x:c r="P26" s="24" t="n">
        <x:f>--(D26&gt;G26)+--(E26&gt;H26)+--(F26&gt;I26)</x:f>
        <x:v>0</x:v>
      </x:c>
      <x:c r="Q26" s="38" t="n">
        <x:f>MAX(J26:L26)</x:f>
        <x:v>1</x:v>
      </x:c>
      <x:c r="R26" s="25" t="str">
        <x:f>IF(P26=0,"ไม่เกินเกณฑ์",IF(P26=1,"เกิน 1 สาร",IF(P26=2,"เกิน 2 สาร","เกิน 3 สาร")))</x:f>
        <x:v>ไม่เกินเกณฑ์</x:v>
      </x:c>
    </x:row>
    <x:row r="27">
      <x:c r="A27" s="23" t="str">
        <x:v>Cig010</x:v>
      </x:c>
      <x:c r="B27" s="24" t="str">
        <x:v>Cigarette</x:v>
      </x:c>
      <x:c r="C27" s="24" t="n">
        <x:v>2569</x:v>
      </x:c>
      <x:c r="D27" s="24" t="n">
        <x:v>9.1</x:v>
      </x:c>
      <x:c r="E27" s="24" t="n">
        <x:v>0.9</x:v>
      </x:c>
      <x:c r="F27" s="24" t="n">
        <x:v>8.4</x:v>
      </x:c>
      <x:c r="G27" s="24" t="n">
        <x:v>10</x:v>
      </x:c>
      <x:c r="H27" s="24" t="n">
        <x:v>1</x:v>
      </x:c>
      <x:c r="I27" s="24" t="n">
        <x:v>10</x:v>
      </x:c>
      <x:c r="J27" s="38" t="n">
        <x:f>IFERROR(D27/G27,"")</x:f>
        <x:v>0.9099999999999999</x:v>
      </x:c>
      <x:c r="K27" s="38" t="n">
        <x:f>IFERROR(E27/H27,"")</x:f>
        <x:v>0.9</x:v>
      </x:c>
      <x:c r="L27" s="38" t="n">
        <x:f>IFERROR(F27/I27,"")</x:f>
        <x:v>0.8400000000000001</x:v>
      </x:c>
      <x:c r="M27" s="24" t="str">
        <x:f>IF(D27&gt;G27,"เกินเกณฑ์",IF(D27=G27,"เท่ากับเกณฑ์","ไม่เกินเกณฑ์"))</x:f>
        <x:v>ไม่เกินเกณฑ์</x:v>
      </x:c>
      <x:c r="N27" s="24" t="str">
        <x:f>IF(E27&gt;H27,"เกินเกณฑ์",IF(E27=H27,"เท่ากับเกณฑ์","ไม่เกินเกณฑ์"))</x:f>
        <x:v>ไม่เกินเกณฑ์</x:v>
      </x:c>
      <x:c r="O27" s="24" t="str">
        <x:f>IF(F27&gt;I27,"เกินเกณฑ์",IF(F27=I27,"เท่ากับเกณฑ์","ไม่เกินเกณฑ์"))</x:f>
        <x:v>ไม่เกินเกณฑ์</x:v>
      </x:c>
      <x:c r="P27" s="24" t="n">
        <x:f>--(D27&gt;G27)+--(E27&gt;H27)+--(F27&gt;I27)</x:f>
        <x:v>0</x:v>
      </x:c>
      <x:c r="Q27" s="38" t="n">
        <x:f>MAX(J27:L27)</x:f>
        <x:v>0.9099999999999999</x:v>
      </x:c>
      <x:c r="R27" s="25" t="str">
        <x:f>IF(P27=0,"ไม่เกินเกณฑ์",IF(P27=1,"เกิน 1 สาร",IF(P27=2,"เกิน 2 สาร","เกิน 3 สาร")))</x:f>
        <x:v>ไม่เกินเกณฑ์</x:v>
      </x:c>
    </x:row>
    <x:row r="28">
      <x:c r="A28" s="23" t="str">
        <x:v>Cig011</x:v>
      </x:c>
      <x:c r="B28" s="24" t="str">
        <x:v>Cigarette</x:v>
      </x:c>
      <x:c r="C28" s="24" t="n">
        <x:v>2569</x:v>
      </x:c>
      <x:c r="D28" s="24" t="n">
        <x:v>9.5</x:v>
      </x:c>
      <x:c r="E28" s="24" t="n">
        <x:v>0.66</x:v>
      </x:c>
      <x:c r="F28" s="24" t="n">
        <x:v>12.4</x:v>
      </x:c>
      <x:c r="G28" s="24" t="n">
        <x:v>10</x:v>
      </x:c>
      <x:c r="H28" s="24" t="n">
        <x:v>1</x:v>
      </x:c>
      <x:c r="I28" s="24" t="n">
        <x:v>10</x:v>
      </x:c>
      <x:c r="J28" s="38" t="n">
        <x:f>IFERROR(D28/G28,"")</x:f>
        <x:v>0.95</x:v>
      </x:c>
      <x:c r="K28" s="38" t="n">
        <x:f>IFERROR(E28/H28,"")</x:f>
        <x:v>0.66</x:v>
      </x:c>
      <x:c r="L28" s="38" t="n">
        <x:f>IFERROR(F28/I28,"")</x:f>
        <x:v>1.24</x:v>
      </x:c>
      <x:c r="M28" s="24" t="str">
        <x:f>IF(D28&gt;G28,"เกินเกณฑ์",IF(D28=G28,"เท่ากับเกณฑ์","ไม่เกินเกณฑ์"))</x:f>
        <x:v>ไม่เกินเกณฑ์</x:v>
      </x:c>
      <x:c r="N28" s="24" t="str">
        <x:f>IF(E28&gt;H28,"เกินเกณฑ์",IF(E28=H28,"เท่ากับเกณฑ์","ไม่เกินเกณฑ์"))</x:f>
        <x:v>ไม่เกินเกณฑ์</x:v>
      </x:c>
      <x:c r="O28" s="24" t="str">
        <x:f>IF(F28&gt;I28,"เกินเกณฑ์",IF(F28=I28,"เท่ากับเกณฑ์","ไม่เกินเกณฑ์"))</x:f>
        <x:v>เกินเกณฑ์</x:v>
      </x:c>
      <x:c r="P28" s="24" t="n">
        <x:f>--(D28&gt;G28)+--(E28&gt;H28)+--(F28&gt;I28)</x:f>
        <x:v>1</x:v>
      </x:c>
      <x:c r="Q28" s="38" t="n">
        <x:f>MAX(J28:L28)</x:f>
        <x:v>1.24</x:v>
      </x:c>
      <x:c r="R28" s="25" t="str">
        <x:f>IF(P28=0,"ไม่เกินเกณฑ์",IF(P28=1,"เกิน 1 สาร",IF(P28=2,"เกิน 2 สาร","เกิน 3 สาร")))</x:f>
        <x:v>เกิน 1 สาร</x:v>
      </x:c>
    </x:row>
    <x:row r="29">
      <x:c r="A29" s="23" t="str">
        <x:v>Cig012</x:v>
      </x:c>
      <x:c r="B29" s="24" t="str">
        <x:v>Cigarette</x:v>
      </x:c>
      <x:c r="C29" s="24" t="n">
        <x:v>2569</x:v>
      </x:c>
      <x:c r="D29" s="24" t="n">
        <x:v>9.8</x:v>
      </x:c>
      <x:c r="E29" s="24" t="n">
        <x:v>0.68</x:v>
      </x:c>
      <x:c r="F29" s="24" t="n">
        <x:v>12.7</x:v>
      </x:c>
      <x:c r="G29" s="24" t="n">
        <x:v>10</x:v>
      </x:c>
      <x:c r="H29" s="24" t="n">
        <x:v>1</x:v>
      </x:c>
      <x:c r="I29" s="24" t="n">
        <x:v>10</x:v>
      </x:c>
      <x:c r="J29" s="38" t="n">
        <x:f>IFERROR(D29/G29,"")</x:f>
        <x:v>0.9800000000000001</x:v>
      </x:c>
      <x:c r="K29" s="38" t="n">
        <x:f>IFERROR(E29/H29,"")</x:f>
        <x:v>0.68</x:v>
      </x:c>
      <x:c r="L29" s="38" t="n">
        <x:f>IFERROR(F29/I29,"")</x:f>
        <x:v>1.27</x:v>
      </x:c>
      <x:c r="M29" s="24" t="str">
        <x:f>IF(D29&gt;G29,"เกินเกณฑ์",IF(D29=G29,"เท่ากับเกณฑ์","ไม่เกินเกณฑ์"))</x:f>
        <x:v>ไม่เกินเกณฑ์</x:v>
      </x:c>
      <x:c r="N29" s="24" t="str">
        <x:f>IF(E29&gt;H29,"เกินเกณฑ์",IF(E29=H29,"เท่ากับเกณฑ์","ไม่เกินเกณฑ์"))</x:f>
        <x:v>ไม่เกินเกณฑ์</x:v>
      </x:c>
      <x:c r="O29" s="24" t="str">
        <x:f>IF(F29&gt;I29,"เกินเกณฑ์",IF(F29=I29,"เท่ากับเกณฑ์","ไม่เกินเกณฑ์"))</x:f>
        <x:v>เกินเกณฑ์</x:v>
      </x:c>
      <x:c r="P29" s="24" t="n">
        <x:f>--(D29&gt;G29)+--(E29&gt;H29)+--(F29&gt;I29)</x:f>
        <x:v>1</x:v>
      </x:c>
      <x:c r="Q29" s="38" t="n">
        <x:f>MAX(J29:L29)</x:f>
        <x:v>1.27</x:v>
      </x:c>
      <x:c r="R29" s="25" t="str">
        <x:f>IF(P29=0,"ไม่เกินเกณฑ์",IF(P29=1,"เกิน 1 สาร",IF(P29=2,"เกิน 2 สาร","เกิน 3 สาร")))</x:f>
        <x:v>เกิน 1 สาร</x:v>
      </x:c>
    </x:row>
    <x:row r="30">
      <x:c r="A30" s="23" t="str">
        <x:v>Cig013</x:v>
      </x:c>
      <x:c r="B30" s="24" t="str">
        <x:v>Cigarette</x:v>
      </x:c>
      <x:c r="C30" s="24" t="n">
        <x:v>2569</x:v>
      </x:c>
      <x:c r="D30" s="24" t="n">
        <x:v>10.3</x:v>
      </x:c>
      <x:c r="E30" s="24" t="n">
        <x:v>0.84</x:v>
      </x:c>
      <x:c r="F30" s="24" t="n">
        <x:v>10.3</x:v>
      </x:c>
      <x:c r="G30" s="24" t="n">
        <x:v>10</x:v>
      </x:c>
      <x:c r="H30" s="24" t="n">
        <x:v>1</x:v>
      </x:c>
      <x:c r="I30" s="24" t="n">
        <x:v>10</x:v>
      </x:c>
      <x:c r="J30" s="38" t="n">
        <x:f>IFERROR(D30/G30,"")</x:f>
        <x:v>1.03</x:v>
      </x:c>
      <x:c r="K30" s="38" t="n">
        <x:f>IFERROR(E30/H30,"")</x:f>
        <x:v>0.84</x:v>
      </x:c>
      <x:c r="L30" s="38" t="n">
        <x:f>IFERROR(F30/I30,"")</x:f>
        <x:v>1.03</x:v>
      </x:c>
      <x:c r="M30" s="24" t="str">
        <x:f>IF(D30&gt;G30,"เกินเกณฑ์",IF(D30=G30,"เท่ากับเกณฑ์","ไม่เกินเกณฑ์"))</x:f>
        <x:v>เกินเกณฑ์</x:v>
      </x:c>
      <x:c r="N30" s="24" t="str">
        <x:f>IF(E30&gt;H30,"เกินเกณฑ์",IF(E30=H30,"เท่ากับเกณฑ์","ไม่เกินเกณฑ์"))</x:f>
        <x:v>ไม่เกินเกณฑ์</x:v>
      </x:c>
      <x:c r="O30" s="24" t="str">
        <x:f>IF(F30&gt;I30,"เกินเกณฑ์",IF(F30=I30,"เท่ากับเกณฑ์","ไม่เกินเกณฑ์"))</x:f>
        <x:v>เกินเกณฑ์</x:v>
      </x:c>
      <x:c r="P30" s="24" t="n">
        <x:f>--(D30&gt;G30)+--(E30&gt;H30)+--(F30&gt;I30)</x:f>
        <x:v>2</x:v>
      </x:c>
      <x:c r="Q30" s="38" t="n">
        <x:f>MAX(J30:L30)</x:f>
        <x:v>1.03</x:v>
      </x:c>
      <x:c r="R30" s="25" t="str">
        <x:f>IF(P30=0,"ไม่เกินเกณฑ์",IF(P30=1,"เกิน 1 สาร",IF(P30=2,"เกิน 2 สาร","เกิน 3 สาร")))</x:f>
        <x:v>เกิน 2 สาร</x:v>
      </x:c>
    </x:row>
    <x:row r="31">
      <x:c r="A31" s="23" t="str">
        <x:v>Cig014</x:v>
      </x:c>
      <x:c r="B31" s="24" t="str">
        <x:v>Cigarette</x:v>
      </x:c>
      <x:c r="C31" s="24" t="n">
        <x:v>2569</x:v>
      </x:c>
      <x:c r="D31" s="24" t="n">
        <x:v>10.7</x:v>
      </x:c>
      <x:c r="E31" s="24" t="n">
        <x:v>0.84</x:v>
      </x:c>
      <x:c r="F31" s="24" t="n">
        <x:v>8.8</x:v>
      </x:c>
      <x:c r="G31" s="24" t="n">
        <x:v>10</x:v>
      </x:c>
      <x:c r="H31" s="24" t="n">
        <x:v>1</x:v>
      </x:c>
      <x:c r="I31" s="24" t="n">
        <x:v>10</x:v>
      </x:c>
      <x:c r="J31" s="38" t="n">
        <x:f>IFERROR(D31/G31,"")</x:f>
        <x:v>1.0699999999999998</x:v>
      </x:c>
      <x:c r="K31" s="38" t="n">
        <x:f>IFERROR(E31/H31,"")</x:f>
        <x:v>0.84</x:v>
      </x:c>
      <x:c r="L31" s="38" t="n">
        <x:f>IFERROR(F31/I31,"")</x:f>
        <x:v>0.8800000000000001</x:v>
      </x:c>
      <x:c r="M31" s="24" t="str">
        <x:f>IF(D31&gt;G31,"เกินเกณฑ์",IF(D31=G31,"เท่ากับเกณฑ์","ไม่เกินเกณฑ์"))</x:f>
        <x:v>เกินเกณฑ์</x:v>
      </x:c>
      <x:c r="N31" s="24" t="str">
        <x:f>IF(E31&gt;H31,"เกินเกณฑ์",IF(E31=H31,"เท่ากับเกณฑ์","ไม่เกินเกณฑ์"))</x:f>
        <x:v>ไม่เกินเกณฑ์</x:v>
      </x:c>
      <x:c r="O31" s="24" t="str">
        <x:f>IF(F31&gt;I31,"เกินเกณฑ์",IF(F31=I31,"เท่ากับเกณฑ์","ไม่เกินเกณฑ์"))</x:f>
        <x:v>ไม่เกินเกณฑ์</x:v>
      </x:c>
      <x:c r="P31" s="24" t="n">
        <x:f>--(D31&gt;G31)+--(E31&gt;H31)+--(F31&gt;I31)</x:f>
        <x:v>1</x:v>
      </x:c>
      <x:c r="Q31" s="38" t="n">
        <x:f>MAX(J31:L31)</x:f>
        <x:v>1.0699999999999998</x:v>
      </x:c>
      <x:c r="R31" s="25" t="str">
        <x:f>IF(P31=0,"ไม่เกินเกณฑ์",IF(P31=1,"เกิน 1 สาร",IF(P31=2,"เกิน 2 สาร","เกิน 3 สาร")))</x:f>
        <x:v>เกิน 1 สาร</x:v>
      </x:c>
    </x:row>
    <x:row r="32">
      <x:c r="A32" s="23" t="str">
        <x:v>Cig015</x:v>
      </x:c>
      <x:c r="B32" s="24" t="str">
        <x:v>Cigarette</x:v>
      </x:c>
      <x:c r="C32" s="24" t="n">
        <x:v>2569</x:v>
      </x:c>
      <x:c r="D32" s="24" t="n">
        <x:v>10.7</x:v>
      </x:c>
      <x:c r="E32" s="24" t="n">
        <x:v>0.84</x:v>
      </x:c>
      <x:c r="F32" s="24" t="n">
        <x:v>8.8</x:v>
      </x:c>
      <x:c r="G32" s="24" t="n">
        <x:v>10</x:v>
      </x:c>
      <x:c r="H32" s="24" t="n">
        <x:v>1</x:v>
      </x:c>
      <x:c r="I32" s="24" t="n">
        <x:v>10</x:v>
      </x:c>
      <x:c r="J32" s="38" t="n">
        <x:f>IFERROR(D32/G32,"")</x:f>
        <x:v>1.0699999999999998</x:v>
      </x:c>
      <x:c r="K32" s="38" t="n">
        <x:f>IFERROR(E32/H32,"")</x:f>
        <x:v>0.84</x:v>
      </x:c>
      <x:c r="L32" s="38" t="n">
        <x:f>IFERROR(F32/I32,"")</x:f>
        <x:v>0.8800000000000001</x:v>
      </x:c>
      <x:c r="M32" s="24" t="str">
        <x:f>IF(D32&gt;G32,"เกินเกณฑ์",IF(D32=G32,"เท่ากับเกณฑ์","ไม่เกินเกณฑ์"))</x:f>
        <x:v>เกินเกณฑ์</x:v>
      </x:c>
      <x:c r="N32" s="24" t="str">
        <x:f>IF(E32&gt;H32,"เกินเกณฑ์",IF(E32=H32,"เท่ากับเกณฑ์","ไม่เกินเกณฑ์"))</x:f>
        <x:v>ไม่เกินเกณฑ์</x:v>
      </x:c>
      <x:c r="O32" s="24" t="str">
        <x:f>IF(F32&gt;I32,"เกินเกณฑ์",IF(F32=I32,"เท่ากับเกณฑ์","ไม่เกินเกณฑ์"))</x:f>
        <x:v>ไม่เกินเกณฑ์</x:v>
      </x:c>
      <x:c r="P32" s="24" t="n">
        <x:f>--(D32&gt;G32)+--(E32&gt;H32)+--(F32&gt;I32)</x:f>
        <x:v>1</x:v>
      </x:c>
      <x:c r="Q32" s="38" t="n">
        <x:f>MAX(J32:L32)</x:f>
        <x:v>1.0699999999999998</x:v>
      </x:c>
      <x:c r="R32" s="25" t="str">
        <x:f>IF(P32=0,"ไม่เกินเกณฑ์",IF(P32=1,"เกิน 1 สาร",IF(P32=2,"เกิน 2 สาร","เกิน 3 สาร")))</x:f>
        <x:v>เกิน 1 สาร</x:v>
      </x:c>
    </x:row>
    <x:row r="33">
      <x:c r="A33" s="23" t="str">
        <x:v>Cig016</x:v>
      </x:c>
      <x:c r="B33" s="24" t="str">
        <x:v>Cigarette</x:v>
      </x:c>
      <x:c r="C33" s="24" t="n">
        <x:v>2569</x:v>
      </x:c>
      <x:c r="D33" s="24" t="n">
        <x:v>10.7</x:v>
      </x:c>
      <x:c r="E33" s="24" t="n">
        <x:v>0.84</x:v>
      </x:c>
      <x:c r="F33" s="24" t="n">
        <x:v>8.8</x:v>
      </x:c>
      <x:c r="G33" s="24" t="n">
        <x:v>10</x:v>
      </x:c>
      <x:c r="H33" s="24" t="n">
        <x:v>1</x:v>
      </x:c>
      <x:c r="I33" s="24" t="n">
        <x:v>10</x:v>
      </x:c>
      <x:c r="J33" s="38" t="n">
        <x:f>IFERROR(D33/G33,"")</x:f>
        <x:v>1.0699999999999998</x:v>
      </x:c>
      <x:c r="K33" s="38" t="n">
        <x:f>IFERROR(E33/H33,"")</x:f>
        <x:v>0.84</x:v>
      </x:c>
      <x:c r="L33" s="38" t="n">
        <x:f>IFERROR(F33/I33,"")</x:f>
        <x:v>0.8800000000000001</x:v>
      </x:c>
      <x:c r="M33" s="24" t="str">
        <x:f>IF(D33&gt;G33,"เกินเกณฑ์",IF(D33=G33,"เท่ากับเกณฑ์","ไม่เกินเกณฑ์"))</x:f>
        <x:v>เกินเกณฑ์</x:v>
      </x:c>
      <x:c r="N33" s="24" t="str">
        <x:f>IF(E33&gt;H33,"เกินเกณฑ์",IF(E33=H33,"เท่ากับเกณฑ์","ไม่เกินเกณฑ์"))</x:f>
        <x:v>ไม่เกินเกณฑ์</x:v>
      </x:c>
      <x:c r="O33" s="24" t="str">
        <x:f>IF(F33&gt;I33,"เกินเกณฑ์",IF(F33=I33,"เท่ากับเกณฑ์","ไม่เกินเกณฑ์"))</x:f>
        <x:v>ไม่เกินเกณฑ์</x:v>
      </x:c>
      <x:c r="P33" s="24" t="n">
        <x:f>--(D33&gt;G33)+--(E33&gt;H33)+--(F33&gt;I33)</x:f>
        <x:v>1</x:v>
      </x:c>
      <x:c r="Q33" s="38" t="n">
        <x:f>MAX(J33:L33)</x:f>
        <x:v>1.0699999999999998</x:v>
      </x:c>
      <x:c r="R33" s="25" t="str">
        <x:f>IF(P33=0,"ไม่เกินเกณฑ์",IF(P33=1,"เกิน 1 สาร",IF(P33=2,"เกิน 2 สาร","เกิน 3 สาร")))</x:f>
        <x:v>เกิน 1 สาร</x:v>
      </x:c>
    </x:row>
    <x:row r="34">
      <x:c r="A34" s="23" t="str">
        <x:v>Cig017</x:v>
      </x:c>
      <x:c r="B34" s="24" t="str">
        <x:v>Cigarette</x:v>
      </x:c>
      <x:c r="C34" s="24" t="n">
        <x:v>2569</x:v>
      </x:c>
      <x:c r="D34" s="24" t="n">
        <x:v>10.7</x:v>
      </x:c>
      <x:c r="E34" s="24" t="n">
        <x:v>0.84</x:v>
      </x:c>
      <x:c r="F34" s="24" t="n">
        <x:v>8.8</x:v>
      </x:c>
      <x:c r="G34" s="24" t="n">
        <x:v>10</x:v>
      </x:c>
      <x:c r="H34" s="24" t="n">
        <x:v>1</x:v>
      </x:c>
      <x:c r="I34" s="24" t="n">
        <x:v>10</x:v>
      </x:c>
      <x:c r="J34" s="38" t="n">
        <x:f>IFERROR(D34/G34,"")</x:f>
        <x:v>1.0699999999999998</x:v>
      </x:c>
      <x:c r="K34" s="38" t="n">
        <x:f>IFERROR(E34/H34,"")</x:f>
        <x:v>0.84</x:v>
      </x:c>
      <x:c r="L34" s="38" t="n">
        <x:f>IFERROR(F34/I34,"")</x:f>
        <x:v>0.8800000000000001</x:v>
      </x:c>
      <x:c r="M34" s="24" t="str">
        <x:f>IF(D34&gt;G34,"เกินเกณฑ์",IF(D34=G34,"เท่ากับเกณฑ์","ไม่เกินเกณฑ์"))</x:f>
        <x:v>เกินเกณฑ์</x:v>
      </x:c>
      <x:c r="N34" s="24" t="str">
        <x:f>IF(E34&gt;H34,"เกินเกณฑ์",IF(E34=H34,"เท่ากับเกณฑ์","ไม่เกินเกณฑ์"))</x:f>
        <x:v>ไม่เกินเกณฑ์</x:v>
      </x:c>
      <x:c r="O34" s="24" t="str">
        <x:f>IF(F34&gt;I34,"เกินเกณฑ์",IF(F34=I34,"เท่ากับเกณฑ์","ไม่เกินเกณฑ์"))</x:f>
        <x:v>ไม่เกินเกณฑ์</x:v>
      </x:c>
      <x:c r="P34" s="24" t="n">
        <x:f>--(D34&gt;G34)+--(E34&gt;H34)+--(F34&gt;I34)</x:f>
        <x:v>1</x:v>
      </x:c>
      <x:c r="Q34" s="38" t="n">
        <x:f>MAX(J34:L34)</x:f>
        <x:v>1.0699999999999998</x:v>
      </x:c>
      <x:c r="R34" s="25" t="str">
        <x:f>IF(P34=0,"ไม่เกินเกณฑ์",IF(P34=1,"เกิน 1 สาร",IF(P34=2,"เกิน 2 สาร","เกิน 3 สาร")))</x:f>
        <x:v>เกิน 1 สาร</x:v>
      </x:c>
    </x:row>
    <x:row r="35">
      <x:c r="A35" s="23" t="str">
        <x:v>Cig018</x:v>
      </x:c>
      <x:c r="B35" s="24" t="str">
        <x:v>Cigarette</x:v>
      </x:c>
      <x:c r="C35" s="24" t="n">
        <x:v>2569</x:v>
      </x:c>
      <x:c r="D35" s="24" t="n">
        <x:v>12</x:v>
      </x:c>
      <x:c r="E35" s="24" t="n">
        <x:v>0.7</x:v>
      </x:c>
      <x:c r="F35" s="24" t="n">
        <x:v>9</x:v>
      </x:c>
      <x:c r="G35" s="24" t="n">
        <x:v>10</x:v>
      </x:c>
      <x:c r="H35" s="24" t="n">
        <x:v>1</x:v>
      </x:c>
      <x:c r="I35" s="24" t="n">
        <x:v>10</x:v>
      </x:c>
      <x:c r="J35" s="38" t="n">
        <x:f>IFERROR(D35/G35,"")</x:f>
        <x:v>1.2</x:v>
      </x:c>
      <x:c r="K35" s="38" t="n">
        <x:f>IFERROR(E35/H35,"")</x:f>
        <x:v>0.7</x:v>
      </x:c>
      <x:c r="L35" s="38" t="n">
        <x:f>IFERROR(F35/I35,"")</x:f>
        <x:v>0.9</x:v>
      </x:c>
      <x:c r="M35" s="24" t="str">
        <x:f>IF(D35&gt;G35,"เกินเกณฑ์",IF(D35=G35,"เท่ากับเกณฑ์","ไม่เกินเกณฑ์"))</x:f>
        <x:v>เกินเกณฑ์</x:v>
      </x:c>
      <x:c r="N35" s="24" t="str">
        <x:f>IF(E35&gt;H35,"เกินเกณฑ์",IF(E35=H35,"เท่ากับเกณฑ์","ไม่เกินเกณฑ์"))</x:f>
        <x:v>ไม่เกินเกณฑ์</x:v>
      </x:c>
      <x:c r="O35" s="24" t="str">
        <x:f>IF(F35&gt;I35,"เกินเกณฑ์",IF(F35=I35,"เท่ากับเกณฑ์","ไม่เกินเกณฑ์"))</x:f>
        <x:v>ไม่เกินเกณฑ์</x:v>
      </x:c>
      <x:c r="P35" s="24" t="n">
        <x:f>--(D35&gt;G35)+--(E35&gt;H35)+--(F35&gt;I35)</x:f>
        <x:v>1</x:v>
      </x:c>
      <x:c r="Q35" s="38" t="n">
        <x:f>MAX(J35:L35)</x:f>
        <x:v>1.2</x:v>
      </x:c>
      <x:c r="R35" s="25" t="str">
        <x:f>IF(P35=0,"ไม่เกินเกณฑ์",IF(P35=1,"เกิน 1 สาร",IF(P35=2,"เกิน 2 สาร","เกิน 3 สาร")))</x:f>
        <x:v>เกิน 1 สาร</x:v>
      </x:c>
    </x:row>
    <x:row r="36">
      <x:c r="A36" s="23" t="str">
        <x:v>Cig019</x:v>
      </x:c>
      <x:c r="B36" s="24" t="str">
        <x:v>Cigarette</x:v>
      </x:c>
      <x:c r="C36" s="24" t="n">
        <x:v>2569</x:v>
      </x:c>
      <x:c r="D36" s="24" t="n">
        <x:v>14</x:v>
      </x:c>
      <x:c r="E36" s="24" t="n">
        <x:v>0.9</x:v>
      </x:c>
      <x:c r="F36" s="24" t="n">
        <x:v>13</x:v>
      </x:c>
      <x:c r="G36" s="24" t="n">
        <x:v>10</x:v>
      </x:c>
      <x:c r="H36" s="24" t="n">
        <x:v>1</x:v>
      </x:c>
      <x:c r="I36" s="24" t="n">
        <x:v>10</x:v>
      </x:c>
      <x:c r="J36" s="38" t="n">
        <x:f>IFERROR(D36/G36,"")</x:f>
        <x:v>1.4</x:v>
      </x:c>
      <x:c r="K36" s="38" t="n">
        <x:f>IFERROR(E36/H36,"")</x:f>
        <x:v>0.9</x:v>
      </x:c>
      <x:c r="L36" s="38" t="n">
        <x:f>IFERROR(F36/I36,"")</x:f>
        <x:v>1.3</x:v>
      </x:c>
      <x:c r="M36" s="24" t="str">
        <x:f>IF(D36&gt;G36,"เกินเกณฑ์",IF(D36=G36,"เท่ากับเกณฑ์","ไม่เกินเกณฑ์"))</x:f>
        <x:v>เกินเกณฑ์</x:v>
      </x:c>
      <x:c r="N36" s="24" t="str">
        <x:f>IF(E36&gt;H36,"เกินเกณฑ์",IF(E36=H36,"เท่ากับเกณฑ์","ไม่เกินเกณฑ์"))</x:f>
        <x:v>ไม่เกินเกณฑ์</x:v>
      </x:c>
      <x:c r="O36" s="24" t="str">
        <x:f>IF(F36&gt;I36,"เกินเกณฑ์",IF(F36=I36,"เท่ากับเกณฑ์","ไม่เกินเกณฑ์"))</x:f>
        <x:v>เกินเกณฑ์</x:v>
      </x:c>
      <x:c r="P36" s="24" t="n">
        <x:f>--(D36&gt;G36)+--(E36&gt;H36)+--(F36&gt;I36)</x:f>
        <x:v>2</x:v>
      </x:c>
      <x:c r="Q36" s="38" t="n">
        <x:f>MAX(J36:L36)</x:f>
        <x:v>1.4</x:v>
      </x:c>
      <x:c r="R36" s="25" t="str">
        <x:f>IF(P36=0,"ไม่เกินเกณฑ์",IF(P36=1,"เกิน 1 สาร",IF(P36=2,"เกิน 2 สาร","เกิน 3 สาร")))</x:f>
        <x:v>เกิน 2 สาร</x:v>
      </x:c>
    </x:row>
    <x:row r="37">
      <x:c r="A37" s="23" t="str">
        <x:v>Cig020</x:v>
      </x:c>
      <x:c r="B37" s="24" t="str">
        <x:v>Cigarette</x:v>
      </x:c>
      <x:c r="C37" s="24" t="n">
        <x:v>2569</x:v>
      </x:c>
      <x:c r="D37" s="24" t="n">
        <x:v>14</x:v>
      </x:c>
      <x:c r="E37" s="24" t="n">
        <x:v>0.9</x:v>
      </x:c>
      <x:c r="F37" s="24" t="n">
        <x:v>13</x:v>
      </x:c>
      <x:c r="G37" s="24" t="n">
        <x:v>10</x:v>
      </x:c>
      <x:c r="H37" s="24" t="n">
        <x:v>1</x:v>
      </x:c>
      <x:c r="I37" s="24" t="n">
        <x:v>10</x:v>
      </x:c>
      <x:c r="J37" s="38" t="n">
        <x:f>IFERROR(D37/G37,"")</x:f>
        <x:v>1.4</x:v>
      </x:c>
      <x:c r="K37" s="38" t="n">
        <x:f>IFERROR(E37/H37,"")</x:f>
        <x:v>0.9</x:v>
      </x:c>
      <x:c r="L37" s="38" t="n">
        <x:f>IFERROR(F37/I37,"")</x:f>
        <x:v>1.3</x:v>
      </x:c>
      <x:c r="M37" s="24" t="str">
        <x:f>IF(D37&gt;G37,"เกินเกณฑ์",IF(D37=G37,"เท่ากับเกณฑ์","ไม่เกินเกณฑ์"))</x:f>
        <x:v>เกินเกณฑ์</x:v>
      </x:c>
      <x:c r="N37" s="24" t="str">
        <x:f>IF(E37&gt;H37,"เกินเกณฑ์",IF(E37=H37,"เท่ากับเกณฑ์","ไม่เกินเกณฑ์"))</x:f>
        <x:v>ไม่เกินเกณฑ์</x:v>
      </x:c>
      <x:c r="O37" s="24" t="str">
        <x:f>IF(F37&gt;I37,"เกินเกณฑ์",IF(F37=I37,"เท่ากับเกณฑ์","ไม่เกินเกณฑ์"))</x:f>
        <x:v>เกินเกณฑ์</x:v>
      </x:c>
      <x:c r="P37" s="24" t="n">
        <x:f>--(D37&gt;G37)+--(E37&gt;H37)+--(F37&gt;I37)</x:f>
        <x:v>2</x:v>
      </x:c>
      <x:c r="Q37" s="38" t="n">
        <x:f>MAX(J37:L37)</x:f>
        <x:v>1.4</x:v>
      </x:c>
      <x:c r="R37" s="25" t="str">
        <x:f>IF(P37=0,"ไม่เกินเกณฑ์",IF(P37=1,"เกิน 1 สาร",IF(P37=2,"เกิน 2 สาร","เกิน 3 สาร")))</x:f>
        <x:v>เกิน 2 สาร</x:v>
      </x:c>
    </x:row>
    <x:row r="38">
      <x:c r="A38" s="23" t="str">
        <x:v>Cig021</x:v>
      </x:c>
      <x:c r="B38" s="24" t="str">
        <x:v>Cigarette</x:v>
      </x:c>
      <x:c r="C38" s="24" t="n">
        <x:v>2569</x:v>
      </x:c>
      <x:c r="D38" s="24" t="n">
        <x:v>14</x:v>
      </x:c>
      <x:c r="E38" s="24" t="n">
        <x:v>0.9</x:v>
      </x:c>
      <x:c r="F38" s="24" t="n">
        <x:v>13</x:v>
      </x:c>
      <x:c r="G38" s="24" t="n">
        <x:v>10</x:v>
      </x:c>
      <x:c r="H38" s="24" t="n">
        <x:v>1</x:v>
      </x:c>
      <x:c r="I38" s="24" t="n">
        <x:v>10</x:v>
      </x:c>
      <x:c r="J38" s="38" t="n">
        <x:f>IFERROR(D38/G38,"")</x:f>
        <x:v>1.4</x:v>
      </x:c>
      <x:c r="K38" s="38" t="n">
        <x:f>IFERROR(E38/H38,"")</x:f>
        <x:v>0.9</x:v>
      </x:c>
      <x:c r="L38" s="38" t="n">
        <x:f>IFERROR(F38/I38,"")</x:f>
        <x:v>1.3</x:v>
      </x:c>
      <x:c r="M38" s="24" t="str">
        <x:f>IF(D38&gt;G38,"เกินเกณฑ์",IF(D38=G38,"เท่ากับเกณฑ์","ไม่เกินเกณฑ์"))</x:f>
        <x:v>เกินเกณฑ์</x:v>
      </x:c>
      <x:c r="N38" s="24" t="str">
        <x:f>IF(E38&gt;H38,"เกินเกณฑ์",IF(E38=H38,"เท่ากับเกณฑ์","ไม่เกินเกณฑ์"))</x:f>
        <x:v>ไม่เกินเกณฑ์</x:v>
      </x:c>
      <x:c r="O38" s="24" t="str">
        <x:f>IF(F38&gt;I38,"เกินเกณฑ์",IF(F38=I38,"เท่ากับเกณฑ์","ไม่เกินเกณฑ์"))</x:f>
        <x:v>เกินเกณฑ์</x:v>
      </x:c>
      <x:c r="P38" s="24" t="n">
        <x:f>--(D38&gt;G38)+--(E38&gt;H38)+--(F38&gt;I38)</x:f>
        <x:v>2</x:v>
      </x:c>
      <x:c r="Q38" s="38" t="n">
        <x:f>MAX(J38:L38)</x:f>
        <x:v>1.4</x:v>
      </x:c>
      <x:c r="R38" s="25" t="str">
        <x:f>IF(P38=0,"ไม่เกินเกณฑ์",IF(P38=1,"เกิน 1 สาร",IF(P38=2,"เกิน 2 สาร","เกิน 3 สาร")))</x:f>
        <x:v>เกิน 2 สาร</x:v>
      </x:c>
    </x:row>
    <x:row r="39">
      <x:c r="A39" s="23" t="str">
        <x:v>Cig022</x:v>
      </x:c>
      <x:c r="B39" s="24" t="str">
        <x:v>Cigarette</x:v>
      </x:c>
      <x:c r="C39" s="24" t="n">
        <x:v>2569</x:v>
      </x:c>
      <x:c r="D39" s="24" t="n">
        <x:v>6.02</x:v>
      </x:c>
      <x:c r="E39" s="24" t="n">
        <x:v>0.5</x:v>
      </x:c>
      <x:c r="F39" s="24" t="n">
        <x:v>5.98</x:v>
      </x:c>
      <x:c r="G39" s="24" t="n">
        <x:v>10</x:v>
      </x:c>
      <x:c r="H39" s="24" t="n">
        <x:v>1</x:v>
      </x:c>
      <x:c r="I39" s="24" t="n">
        <x:v>10</x:v>
      </x:c>
      <x:c r="J39" s="38" t="n">
        <x:f>IFERROR(D39/G39,"")</x:f>
        <x:v>0.602</x:v>
      </x:c>
      <x:c r="K39" s="38" t="n">
        <x:f>IFERROR(E39/H39,"")</x:f>
        <x:v>0.5</x:v>
      </x:c>
      <x:c r="L39" s="38" t="n">
        <x:f>IFERROR(F39/I39,"")</x:f>
        <x:v>0.5980000000000001</x:v>
      </x:c>
      <x:c r="M39" s="24" t="str">
        <x:f>IF(D39&gt;G39,"เกินเกณฑ์",IF(D39=G39,"เท่ากับเกณฑ์","ไม่เกินเกณฑ์"))</x:f>
        <x:v>ไม่เกินเกณฑ์</x:v>
      </x:c>
      <x:c r="N39" s="24" t="str">
        <x:f>IF(E39&gt;H39,"เกินเกณฑ์",IF(E39=H39,"เท่ากับเกณฑ์","ไม่เกินเกณฑ์"))</x:f>
        <x:v>ไม่เกินเกณฑ์</x:v>
      </x:c>
      <x:c r="O39" s="24" t="str">
        <x:f>IF(F39&gt;I39,"เกินเกณฑ์",IF(F39=I39,"เท่ากับเกณฑ์","ไม่เกินเกณฑ์"))</x:f>
        <x:v>ไม่เกินเกณฑ์</x:v>
      </x:c>
      <x:c r="P39" s="24" t="n">
        <x:f>--(D39&gt;G39)+--(E39&gt;H39)+--(F39&gt;I39)</x:f>
        <x:v>0</x:v>
      </x:c>
      <x:c r="Q39" s="38" t="n">
        <x:f>MAX(J39:L39)</x:f>
        <x:v>0.602</x:v>
      </x:c>
      <x:c r="R39" s="25" t="str">
        <x:f>IF(P39=0,"ไม่เกินเกณฑ์",IF(P39=1,"เกิน 1 สาร",IF(P39=2,"เกิน 2 สาร","เกิน 3 สาร")))</x:f>
        <x:v>ไม่เกินเกณฑ์</x:v>
      </x:c>
    </x:row>
    <x:row r="40">
      <x:c r="A40" s="23" t="str">
        <x:v>Cig023</x:v>
      </x:c>
      <x:c r="B40" s="24" t="str">
        <x:v>Cigarette</x:v>
      </x:c>
      <x:c r="C40" s="24" t="n">
        <x:v>2569</x:v>
      </x:c>
      <x:c r="D40" s="24" t="n">
        <x:v>11</x:v>
      </x:c>
      <x:c r="E40" s="24" t="n">
        <x:v>1.1</x:v>
      </x:c>
      <x:c r="F40" s="24" t="n">
        <x:v>13</x:v>
      </x:c>
      <x:c r="G40" s="24" t="n">
        <x:v>10</x:v>
      </x:c>
      <x:c r="H40" s="24" t="n">
        <x:v>1</x:v>
      </x:c>
      <x:c r="I40" s="24" t="n">
        <x:v>10</x:v>
      </x:c>
      <x:c r="J40" s="38" t="n">
        <x:f>IFERROR(D40/G40,"")</x:f>
        <x:v>1.1</x:v>
      </x:c>
      <x:c r="K40" s="38" t="n">
        <x:f>IFERROR(E40/H40,"")</x:f>
        <x:v>1.1</x:v>
      </x:c>
      <x:c r="L40" s="38" t="n">
        <x:f>IFERROR(F40/I40,"")</x:f>
        <x:v>1.3</x:v>
      </x:c>
      <x:c r="M40" s="24" t="str">
        <x:f>IF(D40&gt;G40,"เกินเกณฑ์",IF(D40=G40,"เท่ากับเกณฑ์","ไม่เกินเกณฑ์"))</x:f>
        <x:v>เกินเกณฑ์</x:v>
      </x:c>
      <x:c r="N40" s="24" t="str">
        <x:f>IF(E40&gt;H40,"เกินเกณฑ์",IF(E40=H40,"เท่ากับเกณฑ์","ไม่เกินเกณฑ์"))</x:f>
        <x:v>เกินเกณฑ์</x:v>
      </x:c>
      <x:c r="O40" s="24" t="str">
        <x:f>IF(F40&gt;I40,"เกินเกณฑ์",IF(F40=I40,"เท่ากับเกณฑ์","ไม่เกินเกณฑ์"))</x:f>
        <x:v>เกินเกณฑ์</x:v>
      </x:c>
      <x:c r="P40" s="24" t="n">
        <x:f>--(D40&gt;G40)+--(E40&gt;H40)+--(F40&gt;I40)</x:f>
        <x:v>3</x:v>
      </x:c>
      <x:c r="Q40" s="38" t="n">
        <x:f>MAX(J40:L40)</x:f>
        <x:v>1.3</x:v>
      </x:c>
      <x:c r="R40" s="25" t="str">
        <x:f>IF(P40=0,"ไม่เกินเกณฑ์",IF(P40=1,"เกิน 1 สาร",IF(P40=2,"เกิน 2 สาร","เกิน 3 สาร")))</x:f>
        <x:v>เกิน 3 สาร</x:v>
      </x:c>
    </x:row>
    <x:row r="41">
      <x:c r="A41" s="23" t="str">
        <x:v>Cig024</x:v>
      </x:c>
      <x:c r="B41" s="24" t="str">
        <x:v>Cigarette</x:v>
      </x:c>
      <x:c r="C41" s="24" t="n">
        <x:v>2569</x:v>
      </x:c>
      <x:c r="D41" s="24" t="n">
        <x:v>7</x:v>
      </x:c>
      <x:c r="E41" s="24" t="n">
        <x:v>0.7</x:v>
      </x:c>
      <x:c r="F41" s="24" t="n">
        <x:v>6</x:v>
      </x:c>
      <x:c r="G41" s="24" t="n">
        <x:v>10</x:v>
      </x:c>
      <x:c r="H41" s="24" t="n">
        <x:v>1</x:v>
      </x:c>
      <x:c r="I41" s="24" t="n">
        <x:v>10</x:v>
      </x:c>
      <x:c r="J41" s="38" t="n">
        <x:f>IFERROR(D41/G41,"")</x:f>
        <x:v>0.7</x:v>
      </x:c>
      <x:c r="K41" s="38" t="n">
        <x:f>IFERROR(E41/H41,"")</x:f>
        <x:v>0.7</x:v>
      </x:c>
      <x:c r="L41" s="38" t="n">
        <x:f>IFERROR(F41/I41,"")</x:f>
        <x:v>0.6</x:v>
      </x:c>
      <x:c r="M41" s="24" t="str">
        <x:f>IF(D41&gt;G41,"เกินเกณฑ์",IF(D41=G41,"เท่ากับเกณฑ์","ไม่เกินเกณฑ์"))</x:f>
        <x:v>ไม่เกินเกณฑ์</x:v>
      </x:c>
      <x:c r="N41" s="24" t="str">
        <x:f>IF(E41&gt;H41,"เกินเกณฑ์",IF(E41=H41,"เท่ากับเกณฑ์","ไม่เกินเกณฑ์"))</x:f>
        <x:v>ไม่เกินเกณฑ์</x:v>
      </x:c>
      <x:c r="O41" s="24" t="str">
        <x:f>IF(F41&gt;I41,"เกินเกณฑ์",IF(F41=I41,"เท่ากับเกณฑ์","ไม่เกินเกณฑ์"))</x:f>
        <x:v>ไม่เกินเกณฑ์</x:v>
      </x:c>
      <x:c r="P41" s="24" t="n">
        <x:f>--(D41&gt;G41)+--(E41&gt;H41)+--(F41&gt;I41)</x:f>
        <x:v>0</x:v>
      </x:c>
      <x:c r="Q41" s="38" t="n">
        <x:f>MAX(J41:L41)</x:f>
        <x:v>0.7</x:v>
      </x:c>
      <x:c r="R41" s="25" t="str">
        <x:f>IF(P41=0,"ไม่เกินเกณฑ์",IF(P41=1,"เกิน 1 สาร",IF(P41=2,"เกิน 2 สาร","เกิน 3 สาร")))</x:f>
        <x:v>ไม่เกินเกณฑ์</x:v>
      </x:c>
    </x:row>
    <x:row r="42">
      <x:c r="A42" s="23" t="str">
        <x:v>Cig025</x:v>
      </x:c>
      <x:c r="B42" s="24" t="str">
        <x:v>Cigarette</x:v>
      </x:c>
      <x:c r="C42" s="24" t="n">
        <x:v>2569</x:v>
      </x:c>
      <x:c r="D42" s="24" t="n">
        <x:v>8.1</x:v>
      </x:c>
      <x:c r="E42" s="24" t="n">
        <x:v>0.71</x:v>
      </x:c>
      <x:c r="F42" s="24" t="n">
        <x:v>7.8</x:v>
      </x:c>
      <x:c r="G42" s="24" t="n">
        <x:v>10</x:v>
      </x:c>
      <x:c r="H42" s="24" t="n">
        <x:v>1</x:v>
      </x:c>
      <x:c r="I42" s="24" t="n">
        <x:v>10</x:v>
      </x:c>
      <x:c r="J42" s="38" t="n">
        <x:f>IFERROR(D42/G42,"")</x:f>
        <x:v>0.8099999999999999</x:v>
      </x:c>
      <x:c r="K42" s="38" t="n">
        <x:f>IFERROR(E42/H42,"")</x:f>
        <x:v>0.71</x:v>
      </x:c>
      <x:c r="L42" s="38" t="n">
        <x:f>IFERROR(F42/I42,"")</x:f>
        <x:v>0.78</x:v>
      </x:c>
      <x:c r="M42" s="24" t="str">
        <x:f>IF(D42&gt;G42,"เกินเกณฑ์",IF(D42=G42,"เท่ากับเกณฑ์","ไม่เกินเกณฑ์"))</x:f>
        <x:v>ไม่เกินเกณฑ์</x:v>
      </x:c>
      <x:c r="N42" s="24" t="str">
        <x:f>IF(E42&gt;H42,"เกินเกณฑ์",IF(E42=H42,"เท่ากับเกณฑ์","ไม่เกินเกณฑ์"))</x:f>
        <x:v>ไม่เกินเกณฑ์</x:v>
      </x:c>
      <x:c r="O42" s="24" t="str">
        <x:f>IF(F42&gt;I42,"เกินเกณฑ์",IF(F42=I42,"เท่ากับเกณฑ์","ไม่เกินเกณฑ์"))</x:f>
        <x:v>ไม่เกินเกณฑ์</x:v>
      </x:c>
      <x:c r="P42" s="24" t="n">
        <x:f>--(D42&gt;G42)+--(E42&gt;H42)+--(F42&gt;I42)</x:f>
        <x:v>0</x:v>
      </x:c>
      <x:c r="Q42" s="38" t="n">
        <x:f>MAX(J42:L42)</x:f>
        <x:v>0.8099999999999999</x:v>
      </x:c>
      <x:c r="R42" s="25" t="str">
        <x:f>IF(P42=0,"ไม่เกินเกณฑ์",IF(P42=1,"เกิน 1 สาร",IF(P42=2,"เกิน 2 สาร","เกิน 3 สาร")))</x:f>
        <x:v>ไม่เกินเกณฑ์</x:v>
      </x:c>
    </x:row>
    <x:row r="43">
      <x:c r="A43" s="23" t="str">
        <x:v>Cig026</x:v>
      </x:c>
      <x:c r="B43" s="24" t="str">
        <x:v>Cigarette</x:v>
      </x:c>
      <x:c r="C43" s="24" t="n">
        <x:v>2569</x:v>
      </x:c>
      <x:c r="D43" s="24" t="n">
        <x:v>7.9</x:v>
      </x:c>
      <x:c r="E43" s="24" t="n">
        <x:v>0.77</x:v>
      </x:c>
      <x:c r="F43" s="24" t="n">
        <x:v>9.4</x:v>
      </x:c>
      <x:c r="G43" s="24" t="n">
        <x:v>10</x:v>
      </x:c>
      <x:c r="H43" s="24" t="n">
        <x:v>1</x:v>
      </x:c>
      <x:c r="I43" s="24" t="n">
        <x:v>10</x:v>
      </x:c>
      <x:c r="J43" s="38" t="n">
        <x:f>IFERROR(D43/G43,"")</x:f>
        <x:v>0.79</x:v>
      </x:c>
      <x:c r="K43" s="38" t="n">
        <x:f>IFERROR(E43/H43,"")</x:f>
        <x:v>0.77</x:v>
      </x:c>
      <x:c r="L43" s="38" t="n">
        <x:f>IFERROR(F43/I43,"")</x:f>
        <x:v>0.9400000000000001</x:v>
      </x:c>
      <x:c r="M43" s="24" t="str">
        <x:f>IF(D43&gt;G43,"เกินเกณฑ์",IF(D43=G43,"เท่ากับเกณฑ์","ไม่เกินเกณฑ์"))</x:f>
        <x:v>ไม่เกินเกณฑ์</x:v>
      </x:c>
      <x:c r="N43" s="24" t="str">
        <x:f>IF(E43&gt;H43,"เกินเกณฑ์",IF(E43=H43,"เท่ากับเกณฑ์","ไม่เกินเกณฑ์"))</x:f>
        <x:v>ไม่เกินเกณฑ์</x:v>
      </x:c>
      <x:c r="O43" s="24" t="str">
        <x:f>IF(F43&gt;I43,"เกินเกณฑ์",IF(F43=I43,"เท่ากับเกณฑ์","ไม่เกินเกณฑ์"))</x:f>
        <x:v>ไม่เกินเกณฑ์</x:v>
      </x:c>
      <x:c r="P43" s="24" t="n">
        <x:f>--(D43&gt;G43)+--(E43&gt;H43)+--(F43&gt;I43)</x:f>
        <x:v>0</x:v>
      </x:c>
      <x:c r="Q43" s="38" t="n">
        <x:f>MAX(J43:L43)</x:f>
        <x:v>0.9400000000000001</x:v>
      </x:c>
      <x:c r="R43" s="25" t="str">
        <x:f>IF(P43=0,"ไม่เกินเกณฑ์",IF(P43=1,"เกิน 1 สาร",IF(P43=2,"เกิน 2 สาร","เกิน 3 สาร")))</x:f>
        <x:v>ไม่เกินเกณฑ์</x:v>
      </x:c>
    </x:row>
    <x:row r="44">
      <x:c r="A44" s="23" t="str">
        <x:v>Cig027</x:v>
      </x:c>
      <x:c r="B44" s="24" t="str">
        <x:v>Cigarette</x:v>
      </x:c>
      <x:c r="C44" s="24" t="n">
        <x:v>2569</x:v>
      </x:c>
      <x:c r="D44" s="24" t="n">
        <x:v>8.91</x:v>
      </x:c>
      <x:c r="E44" s="24" t="n">
        <x:v>0.68</x:v>
      </x:c>
      <x:c r="F44" s="24" t="n">
        <x:v>8.51</x:v>
      </x:c>
      <x:c r="G44" s="24" t="n">
        <x:v>10</x:v>
      </x:c>
      <x:c r="H44" s="24" t="n">
        <x:v>1</x:v>
      </x:c>
      <x:c r="I44" s="24" t="n">
        <x:v>10</x:v>
      </x:c>
      <x:c r="J44" s="38" t="n">
        <x:f>IFERROR(D44/G44,"")</x:f>
        <x:v>0.891</x:v>
      </x:c>
      <x:c r="K44" s="38" t="n">
        <x:f>IFERROR(E44/H44,"")</x:f>
        <x:v>0.68</x:v>
      </x:c>
      <x:c r="L44" s="38" t="n">
        <x:f>IFERROR(F44/I44,"")</x:f>
        <x:v>0.851</x:v>
      </x:c>
      <x:c r="M44" s="24" t="str">
        <x:f>IF(D44&gt;G44,"เกินเกณฑ์",IF(D44=G44,"เท่ากับเกณฑ์","ไม่เกินเกณฑ์"))</x:f>
        <x:v>ไม่เกินเกณฑ์</x:v>
      </x:c>
      <x:c r="N44" s="24" t="str">
        <x:f>IF(E44&gt;H44,"เกินเกณฑ์",IF(E44=H44,"เท่ากับเกณฑ์","ไม่เกินเกณฑ์"))</x:f>
        <x:v>ไม่เกินเกณฑ์</x:v>
      </x:c>
      <x:c r="O44" s="24" t="str">
        <x:f>IF(F44&gt;I44,"เกินเกณฑ์",IF(F44=I44,"เท่ากับเกณฑ์","ไม่เกินเกณฑ์"))</x:f>
        <x:v>ไม่เกินเกณฑ์</x:v>
      </x:c>
      <x:c r="P44" s="24" t="n">
        <x:f>--(D44&gt;G44)+--(E44&gt;H44)+--(F44&gt;I44)</x:f>
        <x:v>0</x:v>
      </x:c>
      <x:c r="Q44" s="38" t="n">
        <x:f>MAX(J44:L44)</x:f>
        <x:v>0.891</x:v>
      </x:c>
      <x:c r="R44" s="25" t="str">
        <x:f>IF(P44=0,"ไม่เกินเกณฑ์",IF(P44=1,"เกิน 1 สาร",IF(P44=2,"เกิน 2 สาร","เกิน 3 สาร")))</x:f>
        <x:v>ไม่เกินเกณฑ์</x:v>
      </x:c>
    </x:row>
    <x:row r="45">
      <x:c r="A45" s="23" t="str">
        <x:v>Cig028</x:v>
      </x:c>
      <x:c r="B45" s="24" t="str">
        <x:v>Cigarette</x:v>
      </x:c>
      <x:c r="C45" s="24" t="n">
        <x:v>2569</x:v>
      </x:c>
      <x:c r="D45" s="24" t="n">
        <x:v>7.07</x:v>
      </x:c>
      <x:c r="E45" s="24" t="n">
        <x:v>0.48</x:v>
      </x:c>
      <x:c r="F45" s="24" t="n">
        <x:v>5.65</x:v>
      </x:c>
      <x:c r="G45" s="24" t="n">
        <x:v>10</x:v>
      </x:c>
      <x:c r="H45" s="24" t="n">
        <x:v>1</x:v>
      </x:c>
      <x:c r="I45" s="24" t="n">
        <x:v>10</x:v>
      </x:c>
      <x:c r="J45" s="38" t="n">
        <x:f>IFERROR(D45/G45,"")</x:f>
        <x:v>0.7070000000000001</x:v>
      </x:c>
      <x:c r="K45" s="38" t="n">
        <x:f>IFERROR(E45/H45,"")</x:f>
        <x:v>0.48</x:v>
      </x:c>
      <x:c r="L45" s="38" t="n">
        <x:f>IFERROR(F45/I45,"")</x:f>
        <x:v>0.5650000000000001</x:v>
      </x:c>
      <x:c r="M45" s="24" t="str">
        <x:f>IF(D45&gt;G45,"เกินเกณฑ์",IF(D45=G45,"เท่ากับเกณฑ์","ไม่เกินเกณฑ์"))</x:f>
        <x:v>ไม่เกินเกณฑ์</x:v>
      </x:c>
      <x:c r="N45" s="24" t="str">
        <x:f>IF(E45&gt;H45,"เกินเกณฑ์",IF(E45=H45,"เท่ากับเกณฑ์","ไม่เกินเกณฑ์"))</x:f>
        <x:v>ไม่เกินเกณฑ์</x:v>
      </x:c>
      <x:c r="O45" s="24" t="str">
        <x:f>IF(F45&gt;I45,"เกินเกณฑ์",IF(F45=I45,"เท่ากับเกณฑ์","ไม่เกินเกณฑ์"))</x:f>
        <x:v>ไม่เกินเกณฑ์</x:v>
      </x:c>
      <x:c r="P45" s="24" t="n">
        <x:f>--(D45&gt;G45)+--(E45&gt;H45)+--(F45&gt;I45)</x:f>
        <x:v>0</x:v>
      </x:c>
      <x:c r="Q45" s="38" t="n">
        <x:f>MAX(J45:L45)</x:f>
        <x:v>0.7070000000000001</x:v>
      </x:c>
      <x:c r="R45" s="25" t="str">
        <x:f>IF(P45=0,"ไม่เกินเกณฑ์",IF(P45=1,"เกิน 1 สาร",IF(P45=2,"เกิน 2 สาร","เกิน 3 สาร")))</x:f>
        <x:v>ไม่เกินเกณฑ์</x:v>
      </x:c>
    </x:row>
    <x:row r="46">
      <x:c r="A46" s="23" t="str">
        <x:v>Cig029</x:v>
      </x:c>
      <x:c r="B46" s="24" t="str">
        <x:v>Cigarette</x:v>
      </x:c>
      <x:c r="C46" s="24" t="n">
        <x:v>2569</x:v>
      </x:c>
      <x:c r="D46" s="24" t="n">
        <x:v>19.87</x:v>
      </x:c>
      <x:c r="E46" s="24" t="n">
        <x:v>1.48</x:v>
      </x:c>
      <x:c r="F46" s="24" t="n">
        <x:v>14.95</x:v>
      </x:c>
      <x:c r="G46" s="24" t="n">
        <x:v>10</x:v>
      </x:c>
      <x:c r="H46" s="24" t="n">
        <x:v>1</x:v>
      </x:c>
      <x:c r="I46" s="24" t="n">
        <x:v>10</x:v>
      </x:c>
      <x:c r="J46" s="38" t="n">
        <x:f>IFERROR(D46/G46,"")</x:f>
        <x:v>1.987</x:v>
      </x:c>
      <x:c r="K46" s="38" t="n">
        <x:f>IFERROR(E46/H46,"")</x:f>
        <x:v>1.48</x:v>
      </x:c>
      <x:c r="L46" s="38" t="n">
        <x:f>IFERROR(F46/I46,"")</x:f>
        <x:v>1.4949999999999999</x:v>
      </x:c>
      <x:c r="M46" s="24" t="str">
        <x:f>IF(D46&gt;G46,"เกินเกณฑ์",IF(D46=G46,"เท่ากับเกณฑ์","ไม่เกินเกณฑ์"))</x:f>
        <x:v>เกินเกณฑ์</x:v>
      </x:c>
      <x:c r="N46" s="24" t="str">
        <x:f>IF(E46&gt;H46,"เกินเกณฑ์",IF(E46=H46,"เท่ากับเกณฑ์","ไม่เกินเกณฑ์"))</x:f>
        <x:v>เกินเกณฑ์</x:v>
      </x:c>
      <x:c r="O46" s="24" t="str">
        <x:f>IF(F46&gt;I46,"เกินเกณฑ์",IF(F46=I46,"เท่ากับเกณฑ์","ไม่เกินเกณฑ์"))</x:f>
        <x:v>เกินเกณฑ์</x:v>
      </x:c>
      <x:c r="P46" s="24" t="n">
        <x:f>--(D46&gt;G46)+--(E46&gt;H46)+--(F46&gt;I46)</x:f>
        <x:v>3</x:v>
      </x:c>
      <x:c r="Q46" s="38" t="n">
        <x:f>MAX(J46:L46)</x:f>
        <x:v>1.987</x:v>
      </x:c>
      <x:c r="R46" s="25" t="str">
        <x:f>IF(P46=0,"ไม่เกินเกณฑ์",IF(P46=1,"เกิน 1 สาร",IF(P46=2,"เกิน 2 สาร","เกิน 3 สาร")))</x:f>
        <x:v>เกิน 3 สาร</x:v>
      </x:c>
    </x:row>
    <x:row r="47">
      <x:c r="A47" s="23" t="str">
        <x:v>Cig030</x:v>
      </x:c>
      <x:c r="B47" s="24" t="str">
        <x:v>Cigarette</x:v>
      </x:c>
      <x:c r="C47" s="24" t="n">
        <x:v>2569</x:v>
      </x:c>
      <x:c r="D47" s="24" t="n">
        <x:v>8.1</x:v>
      </x:c>
      <x:c r="E47" s="24" t="n">
        <x:v>0.6</x:v>
      </x:c>
      <x:c r="F47" s="24" t="n">
        <x:v>9.3</x:v>
      </x:c>
      <x:c r="G47" s="24" t="n">
        <x:v>10</x:v>
      </x:c>
      <x:c r="H47" s="24" t="n">
        <x:v>1</x:v>
      </x:c>
      <x:c r="I47" s="24" t="n">
        <x:v>10</x:v>
      </x:c>
      <x:c r="J47" s="38" t="n">
        <x:f>IFERROR(D47/G47,"")</x:f>
        <x:v>0.8099999999999999</x:v>
      </x:c>
      <x:c r="K47" s="38" t="n">
        <x:f>IFERROR(E47/H47,"")</x:f>
        <x:v>0.6</x:v>
      </x:c>
      <x:c r="L47" s="38" t="n">
        <x:f>IFERROR(F47/I47,"")</x:f>
        <x:v>0.93</x:v>
      </x:c>
      <x:c r="M47" s="24" t="str">
        <x:f>IF(D47&gt;G47,"เกินเกณฑ์",IF(D47=G47,"เท่ากับเกณฑ์","ไม่เกินเกณฑ์"))</x:f>
        <x:v>ไม่เกินเกณฑ์</x:v>
      </x:c>
      <x:c r="N47" s="24" t="str">
        <x:f>IF(E47&gt;H47,"เกินเกณฑ์",IF(E47=H47,"เท่ากับเกณฑ์","ไม่เกินเกณฑ์"))</x:f>
        <x:v>ไม่เกินเกณฑ์</x:v>
      </x:c>
      <x:c r="O47" s="24" t="str">
        <x:f>IF(F47&gt;I47,"เกินเกณฑ์",IF(F47=I47,"เท่ากับเกณฑ์","ไม่เกินเกณฑ์"))</x:f>
        <x:v>ไม่เกินเกณฑ์</x:v>
      </x:c>
      <x:c r="P47" s="24" t="n">
        <x:f>--(D47&gt;G47)+--(E47&gt;H47)+--(F47&gt;I47)</x:f>
        <x:v>0</x:v>
      </x:c>
      <x:c r="Q47" s="38" t="n">
        <x:f>MAX(J47:L47)</x:f>
        <x:v>0.93</x:v>
      </x:c>
      <x:c r="R47" s="25" t="str">
        <x:f>IF(P47=0,"ไม่เกินเกณฑ์",IF(P47=1,"เกิน 1 สาร",IF(P47=2,"เกิน 2 สาร","เกิน 3 สาร")))</x:f>
        <x:v>ไม่เกินเกณฑ์</x:v>
      </x:c>
    </x:row>
    <x:row r="48">
      <x:c r="A48" s="23" t="str">
        <x:v>Cig031</x:v>
      </x:c>
      <x:c r="B48" s="24" t="str">
        <x:v>Cigarette</x:v>
      </x:c>
      <x:c r="C48" s="24" t="n">
        <x:v>2569</x:v>
      </x:c>
      <x:c r="D48" s="24" t="n">
        <x:v>9.4</x:v>
      </x:c>
      <x:c r="E48" s="24" t="n">
        <x:v>0.46</x:v>
      </x:c>
      <x:c r="F48" s="24" t="n">
        <x:v>9.4</x:v>
      </x:c>
      <x:c r="G48" s="24" t="n">
        <x:v>10</x:v>
      </x:c>
      <x:c r="H48" s="24" t="n">
        <x:v>1</x:v>
      </x:c>
      <x:c r="I48" s="24" t="n">
        <x:v>10</x:v>
      </x:c>
      <x:c r="J48" s="38" t="n">
        <x:f>IFERROR(D48/G48,"")</x:f>
        <x:v>0.9400000000000001</x:v>
      </x:c>
      <x:c r="K48" s="38" t="n">
        <x:f>IFERROR(E48/H48,"")</x:f>
        <x:v>0.46</x:v>
      </x:c>
      <x:c r="L48" s="38" t="n">
        <x:f>IFERROR(F48/I48,"")</x:f>
        <x:v>0.9400000000000001</x:v>
      </x:c>
      <x:c r="M48" s="24" t="str">
        <x:f>IF(D48&gt;G48,"เกินเกณฑ์",IF(D48=G48,"เท่ากับเกณฑ์","ไม่เกินเกณฑ์"))</x:f>
        <x:v>ไม่เกินเกณฑ์</x:v>
      </x:c>
      <x:c r="N48" s="24" t="str">
        <x:f>IF(E48&gt;H48,"เกินเกณฑ์",IF(E48=H48,"เท่ากับเกณฑ์","ไม่เกินเกณฑ์"))</x:f>
        <x:v>ไม่เกินเกณฑ์</x:v>
      </x:c>
      <x:c r="O48" s="24" t="str">
        <x:f>IF(F48&gt;I48,"เกินเกณฑ์",IF(F48=I48,"เท่ากับเกณฑ์","ไม่เกินเกณฑ์"))</x:f>
        <x:v>ไม่เกินเกณฑ์</x:v>
      </x:c>
      <x:c r="P48" s="24" t="n">
        <x:f>--(D48&gt;G48)+--(E48&gt;H48)+--(F48&gt;I48)</x:f>
        <x:v>0</x:v>
      </x:c>
      <x:c r="Q48" s="38" t="n">
        <x:f>MAX(J48:L48)</x:f>
        <x:v>0.9400000000000001</x:v>
      </x:c>
      <x:c r="R48" s="25" t="str">
        <x:f>IF(P48=0,"ไม่เกินเกณฑ์",IF(P48=1,"เกิน 1 สาร",IF(P48=2,"เกิน 2 สาร","เกิน 3 สาร")))</x:f>
        <x:v>ไม่เกินเกณฑ์</x:v>
      </x:c>
    </x:row>
    <x:row r="49">
      <x:c r="A49" s="26" t="str">
        <x:v>Cig032</x:v>
      </x:c>
      <x:c r="B49" s="27" t="str">
        <x:v>Cigarette</x:v>
      </x:c>
      <x:c r="C49" s="27" t="n">
        <x:v>2569</x:v>
      </x:c>
      <x:c r="D49" s="27" t="n">
        <x:v>11.36</x:v>
      </x:c>
      <x:c r="E49" s="27" t="n">
        <x:v>0.01</x:v>
      </x:c>
      <x:c r="F49" s="27" t="n">
        <x:v>0.3</x:v>
      </x:c>
      <x:c r="G49" s="27" t="n">
        <x:v>10</x:v>
      </x:c>
      <x:c r="H49" s="27" t="n">
        <x:v>1</x:v>
      </x:c>
      <x:c r="I49" s="27" t="n">
        <x:v>10</x:v>
      </x:c>
      <x:c r="J49" s="39" t="n">
        <x:f>IFERROR(D49/G49,"")</x:f>
        <x:v>1.136</x:v>
      </x:c>
      <x:c r="K49" s="39" t="n">
        <x:f>IFERROR(E49/H49,"")</x:f>
        <x:v>0.01</x:v>
      </x:c>
      <x:c r="L49" s="39" t="n">
        <x:f>IFERROR(F49/I49,"")</x:f>
        <x:v>0.03</x:v>
      </x:c>
      <x:c r="M49" s="27" t="str">
        <x:f>IF(D49&gt;G49,"เกินเกณฑ์",IF(D49=G49,"เท่ากับเกณฑ์","ไม่เกินเกณฑ์"))</x:f>
        <x:v>เกินเกณฑ์</x:v>
      </x:c>
      <x:c r="N49" s="27" t="str">
        <x:f>IF(E49&gt;H49,"เกินเกณฑ์",IF(E49=H49,"เท่ากับเกณฑ์","ไม่เกินเกณฑ์"))</x:f>
        <x:v>ไม่เกินเกณฑ์</x:v>
      </x:c>
      <x:c r="O49" s="27" t="str">
        <x:f>IF(F49&gt;I49,"เกินเกณฑ์",IF(F49=I49,"เท่ากับเกณฑ์","ไม่เกินเกณฑ์"))</x:f>
        <x:v>ไม่เกินเกณฑ์</x:v>
      </x:c>
      <x:c r="P49" s="27" t="n">
        <x:f>--(D49&gt;G49)+--(E49&gt;H49)+--(F49&gt;I49)</x:f>
        <x:v>1</x:v>
      </x:c>
      <x:c r="Q49" s="39" t="n">
        <x:f>MAX(J49:L49)</x:f>
        <x:v>1.136</x:v>
      </x:c>
      <x:c r="R49" s="28" t="str">
        <x:f>IF(P49=0,"ไม่เกินเกณฑ์",IF(P49=1,"เกิน 1 สาร",IF(P49=2,"เกิน 2 สาร","เกิน 3 สาร")))</x:f>
        <x:v>เกิน 1 สาร</x:v>
      </x:c>
    </x:row>
  </x:sheetData>
  <x:conditionalFormatting sqref="M2:M49">
    <x:cfRule type="expression" dxfId="0" priority="1">
      <x:formula>M2="เกินเกณฑ์"</x:formula>
    </x:cfRule>
    <x:cfRule type="expression" dxfId="1" priority="2">
      <x:formula>M2="เท่ากับเกณฑ์"</x:formula>
    </x:cfRule>
    <x:cfRule type="expression" dxfId="2" priority="3">
      <x:formula>M2="ไม่เกินเกณฑ์"</x:formula>
    </x:cfRule>
  </x:conditionalFormatting>
  <x:conditionalFormatting sqref="N2:N49">
    <x:cfRule type="expression" dxfId="3" priority="4">
      <x:formula>N2="เกินเกณฑ์"</x:formula>
    </x:cfRule>
    <x:cfRule type="expression" dxfId="4" priority="5">
      <x:formula>N2="เท่ากับเกณฑ์"</x:formula>
    </x:cfRule>
    <x:cfRule type="expression" dxfId="5" priority="6">
      <x:formula>N2="ไม่เกินเกณฑ์"</x:formula>
    </x:cfRule>
  </x:conditionalFormatting>
  <x:conditionalFormatting sqref="O2:O49">
    <x:cfRule type="expression" dxfId="6" priority="7">
      <x:formula>O2="เกินเกณฑ์"</x:formula>
    </x:cfRule>
    <x:cfRule type="expression" dxfId="7" priority="8">
      <x:formula>O2="เท่ากับเกณฑ์"</x:formula>
    </x:cfRule>
    <x:cfRule type="expression" dxfId="8" priority="9">
      <x:formula>O2="ไม่เกินเกณฑ์"</x:formula>
    </x:cfRule>
  </x:conditionalFormatting>
  <x:conditionalFormatting sqref="P2:P49">
    <x:cfRule type="cellIs" dxfId="9" priority="10" operator="greaterThan">
      <x:formula>0</x:formula>
    </x:cfRule>
  </x:conditionalFormatting>
  <x:conditionalFormatting sqref="Q2:Q49">
    <x:cfRule type="cellIs" dxfId="10" priority="11" operator="greaterThan">
      <x:formula>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81dc446833145e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4" hidden="0" customWidth="1"/>
    <x:col min="3" max="3" width="14" hidden="0" customWidth="1"/>
    <x:col min="4" max="4" width="10" hidden="0" customWidth="1"/>
    <x:col min="5" max="5" width="10" hidden="0" customWidth="1"/>
    <x:col min="6" max="6" width="12" hidden="0" customWidth="1"/>
    <x:col min="7" max="7" width="10" hidden="0" customWidth="1"/>
    <x:col min="8" max="8" width="14" hidden="0" customWidth="1"/>
    <x:col min="9" max="9" width="10" hidden="0" customWidth="1"/>
    <x:col min="10" max="10" width="12" hidden="0" customWidth="1"/>
    <x:col min="11" max="11" width="14" hidden="0" customWidth="1"/>
    <x:col min="12" max="12" width="18" hidden="0" customWidth="1"/>
    <x:col min="13" max="13" width="16" hidden="0" customWidth="1"/>
  </x:cols>
  <x:sheetData>
    <x:row r="1">
      <x:c r="A1" s="47" t="str">
        <x:v>ลำดับ</x:v>
      </x:c>
      <x:c r="B1" s="47" t="str">
        <x:v>Product_ID</x:v>
      </x:c>
      <x:c r="C1" s="47" t="str">
        <x:v>ประเภท</x:v>
      </x:c>
      <x:c r="D1" s="47" t="str">
        <x:v>ปี</x:v>
      </x:c>
      <x:c r="E1" s="47" t="str">
        <x:v>Tar</x:v>
      </x:c>
      <x:c r="F1" s="47" t="str">
        <x:v>Tar_%เกณฑ์</x:v>
      </x:c>
      <x:c r="G1" s="47" t="str">
        <x:v>Nicotine</x:v>
      </x:c>
      <x:c r="H1" s="47" t="str">
        <x:v>Nicotine_%เกณฑ์</x:v>
      </x:c>
      <x:c r="I1" s="47" t="str">
        <x:v>CO</x:v>
      </x:c>
      <x:c r="J1" s="47" t="str">
        <x:v>CO_%เกณฑ์</x:v>
      </x:c>
      <x:c r="K1" s="47" t="str">
        <x:v>จำนวนสารเกิน</x:v>
      </x:c>
      <x:c r="L1" s="47" t="str">
        <x:v>ค่าสูงสุดเทียบเกณฑ์</x:v>
      </x:c>
      <x:c r="M1" s="47" t="str">
        <x:v>ระดับความสำคัญ</x:v>
      </x:c>
    </x:row>
    <x:row r="2">
      <x:c r="A2" s="20" t="n">
        <x:v>1</x:v>
      </x:c>
      <x:c r="B2" s="21" t="str">
        <x:v>Cig029</x:v>
      </x:c>
      <x:c r="C2" s="21" t="str">
        <x:v>Cigarette</x:v>
      </x:c>
      <x:c r="D2" s="21" t="n">
        <x:v>2569</x:v>
      </x:c>
      <x:c r="E2" s="21" t="n">
        <x:v>19.87</x:v>
      </x:c>
      <x:c r="F2" s="37" t="n">
        <x:v>1.987</x:v>
      </x:c>
      <x:c r="G2" s="21" t="n">
        <x:v>1.48</x:v>
      </x:c>
      <x:c r="H2" s="37" t="n">
        <x:v>1.48</x:v>
      </x:c>
      <x:c r="I2" s="21" t="n">
        <x:v>14.95</x:v>
      </x:c>
      <x:c r="J2" s="37" t="n">
        <x:v>1.495</x:v>
      </x:c>
      <x:c r="K2" s="21" t="n">
        <x:v>3</x:v>
      </x:c>
      <x:c r="L2" s="37" t="n">
        <x:v>1.987</x:v>
      </x:c>
      <x:c r="M2" s="22" t="str">
        <x:v>สูงมาก</x:v>
      </x:c>
    </x:row>
    <x:row r="3">
      <x:c r="A3" s="23" t="n">
        <x:v>2</x:v>
      </x:c>
      <x:c r="B3" s="24" t="str">
        <x:v>Cig023</x:v>
      </x:c>
      <x:c r="C3" s="24" t="str">
        <x:v>Cigarette</x:v>
      </x:c>
      <x:c r="D3" s="24" t="n">
        <x:v>2569</x:v>
      </x:c>
      <x:c r="E3" s="24" t="n">
        <x:v>11</x:v>
      </x:c>
      <x:c r="F3" s="38" t="n">
        <x:v>1.1</x:v>
      </x:c>
      <x:c r="G3" s="24" t="n">
        <x:v>1.1</x:v>
      </x:c>
      <x:c r="H3" s="38" t="n">
        <x:v>1.1</x:v>
      </x:c>
      <x:c r="I3" s="24" t="n">
        <x:v>13</x:v>
      </x:c>
      <x:c r="J3" s="38" t="n">
        <x:v>1.3</x:v>
      </x:c>
      <x:c r="K3" s="24" t="n">
        <x:v>3</x:v>
      </x:c>
      <x:c r="L3" s="38" t="n">
        <x:v>1.3</x:v>
      </x:c>
      <x:c r="M3" s="25" t="str">
        <x:v>สูงมาก</x:v>
      </x:c>
    </x:row>
    <x:row r="4">
      <x:c r="A4" s="23" t="n">
        <x:v>3</x:v>
      </x:c>
      <x:c r="B4" s="24" t="str">
        <x:v>Cig007</x:v>
      </x:c>
      <x:c r="C4" s="24" t="str">
        <x:v>Cigarette</x:v>
      </x:c>
      <x:c r="D4" s="24" t="n">
        <x:v>2569</x:v>
      </x:c>
      <x:c r="E4" s="24" t="n">
        <x:v>11</x:v>
      </x:c>
      <x:c r="F4" s="38" t="n">
        <x:v>1.1</x:v>
      </x:c>
      <x:c r="G4" s="24" t="n">
        <x:v>1.2</x:v>
      </x:c>
      <x:c r="H4" s="38" t="n">
        <x:v>1.2</x:v>
      </x:c>
      <x:c r="I4" s="24" t="n">
        <x:v>11</x:v>
      </x:c>
      <x:c r="J4" s="38" t="n">
        <x:v>1.1</x:v>
      </x:c>
      <x:c r="K4" s="24" t="n">
        <x:v>3</x:v>
      </x:c>
      <x:c r="L4" s="38" t="n">
        <x:v>1.2</x:v>
      </x:c>
      <x:c r="M4" s="25" t="str">
        <x:v>สูงมาก</x:v>
      </x:c>
    </x:row>
    <x:row r="5">
      <x:c r="A5" s="23" t="n">
        <x:v>4</x:v>
      </x:c>
      <x:c r="B5" s="24" t="str">
        <x:v>Cig006</x:v>
      </x:c>
      <x:c r="C5" s="24" t="str">
        <x:v>Cigarette</x:v>
      </x:c>
      <x:c r="D5" s="24" t="n">
        <x:v>2569</x:v>
      </x:c>
      <x:c r="E5" s="24" t="n">
        <x:v>10.4</x:v>
      </x:c>
      <x:c r="F5" s="38" t="n">
        <x:v>1.04</x:v>
      </x:c>
      <x:c r="G5" s="24" t="n">
        <x:v>1.06</x:v>
      </x:c>
      <x:c r="H5" s="38" t="n">
        <x:v>1.06</x:v>
      </x:c>
      <x:c r="I5" s="24" t="n">
        <x:v>11.05</x:v>
      </x:c>
      <x:c r="J5" s="38" t="n">
        <x:v>1.105</x:v>
      </x:c>
      <x:c r="K5" s="24" t="n">
        <x:v>3</x:v>
      </x:c>
      <x:c r="L5" s="38" t="n">
        <x:v>1.105</x:v>
      </x:c>
      <x:c r="M5" s="25" t="str">
        <x:v>สูงมาก</x:v>
      </x:c>
    </x:row>
    <x:row r="6">
      <x:c r="A6" s="23" t="n">
        <x:v>5</x:v>
      </x:c>
      <x:c r="B6" s="24" t="str">
        <x:v>Cig004</x:v>
      </x:c>
      <x:c r="C6" s="24" t="str">
        <x:v>Cigarette</x:v>
      </x:c>
      <x:c r="D6" s="24" t="n">
        <x:v>2568</x:v>
      </x:c>
      <x:c r="E6" s="24" t="n">
        <x:v>14</x:v>
      </x:c>
      <x:c r="F6" s="38" t="n">
        <x:v>1.4</x:v>
      </x:c>
      <x:c r="G6" s="24" t="n">
        <x:v>0.9</x:v>
      </x:c>
      <x:c r="H6" s="38" t="n">
        <x:v>0.9</x:v>
      </x:c>
      <x:c r="I6" s="24" t="n">
        <x:v>13</x:v>
      </x:c>
      <x:c r="J6" s="38" t="n">
        <x:v>1.3</x:v>
      </x:c>
      <x:c r="K6" s="24" t="n">
        <x:v>2</x:v>
      </x:c>
      <x:c r="L6" s="38" t="n">
        <x:v>1.4</x:v>
      </x:c>
      <x:c r="M6" s="25" t="str">
        <x:v>สูง</x:v>
      </x:c>
    </x:row>
    <x:row r="7">
      <x:c r="A7" s="23" t="n">
        <x:v>6</x:v>
      </x:c>
      <x:c r="B7" s="24" t="str">
        <x:v>Cig019</x:v>
      </x:c>
      <x:c r="C7" s="24" t="str">
        <x:v>Cigarette</x:v>
      </x:c>
      <x:c r="D7" s="24" t="n">
        <x:v>2569</x:v>
      </x:c>
      <x:c r="E7" s="24" t="n">
        <x:v>14</x:v>
      </x:c>
      <x:c r="F7" s="38" t="n">
        <x:v>1.4</x:v>
      </x:c>
      <x:c r="G7" s="24" t="n">
        <x:v>0.9</x:v>
      </x:c>
      <x:c r="H7" s="38" t="n">
        <x:v>0.9</x:v>
      </x:c>
      <x:c r="I7" s="24" t="n">
        <x:v>13</x:v>
      </x:c>
      <x:c r="J7" s="38" t="n">
        <x:v>1.3</x:v>
      </x:c>
      <x:c r="K7" s="24" t="n">
        <x:v>2</x:v>
      </x:c>
      <x:c r="L7" s="38" t="n">
        <x:v>1.4</x:v>
      </x:c>
      <x:c r="M7" s="25" t="str">
        <x:v>สูง</x:v>
      </x:c>
    </x:row>
    <x:row r="8">
      <x:c r="A8" s="23" t="n">
        <x:v>7</x:v>
      </x:c>
      <x:c r="B8" s="24" t="str">
        <x:v>Cig020</x:v>
      </x:c>
      <x:c r="C8" s="24" t="str">
        <x:v>Cigarette</x:v>
      </x:c>
      <x:c r="D8" s="24" t="n">
        <x:v>2569</x:v>
      </x:c>
      <x:c r="E8" s="24" t="n">
        <x:v>14</x:v>
      </x:c>
      <x:c r="F8" s="38" t="n">
        <x:v>1.4</x:v>
      </x:c>
      <x:c r="G8" s="24" t="n">
        <x:v>0.9</x:v>
      </x:c>
      <x:c r="H8" s="38" t="n">
        <x:v>0.9</x:v>
      </x:c>
      <x:c r="I8" s="24" t="n">
        <x:v>13</x:v>
      </x:c>
      <x:c r="J8" s="38" t="n">
        <x:v>1.3</x:v>
      </x:c>
      <x:c r="K8" s="24" t="n">
        <x:v>2</x:v>
      </x:c>
      <x:c r="L8" s="38" t="n">
        <x:v>1.4</x:v>
      </x:c>
      <x:c r="M8" s="25" t="str">
        <x:v>สูง</x:v>
      </x:c>
    </x:row>
    <x:row r="9">
      <x:c r="A9" s="23" t="n">
        <x:v>8</x:v>
      </x:c>
      <x:c r="B9" s="24" t="str">
        <x:v>Cig021</x:v>
      </x:c>
      <x:c r="C9" s="24" t="str">
        <x:v>Cigarette</x:v>
      </x:c>
      <x:c r="D9" s="24" t="n">
        <x:v>2569</x:v>
      </x:c>
      <x:c r="E9" s="24" t="n">
        <x:v>14</x:v>
      </x:c>
      <x:c r="F9" s="38" t="n">
        <x:v>1.4</x:v>
      </x:c>
      <x:c r="G9" s="24" t="n">
        <x:v>0.9</x:v>
      </x:c>
      <x:c r="H9" s="38" t="n">
        <x:v>0.9</x:v>
      </x:c>
      <x:c r="I9" s="24" t="n">
        <x:v>13</x:v>
      </x:c>
      <x:c r="J9" s="38" t="n">
        <x:v>1.3</x:v>
      </x:c>
      <x:c r="K9" s="24" t="n">
        <x:v>2</x:v>
      </x:c>
      <x:c r="L9" s="38" t="n">
        <x:v>1.4</x:v>
      </x:c>
      <x:c r="M9" s="25" t="str">
        <x:v>สูง</x:v>
      </x:c>
    </x:row>
    <x:row r="10">
      <x:c r="A10" s="23" t="n">
        <x:v>9</x:v>
      </x:c>
      <x:c r="B10" s="24" t="str">
        <x:v>Cig005</x:v>
      </x:c>
      <x:c r="C10" s="24" t="str">
        <x:v>Cigarette</x:v>
      </x:c>
      <x:c r="D10" s="24" t="n">
        <x:v>2569</x:v>
      </x:c>
      <x:c r="E10" s="24" t="n">
        <x:v>11.6</x:v>
      </x:c>
      <x:c r="F10" s="38" t="n">
        <x:v>1.16</x:v>
      </x:c>
      <x:c r="G10" s="24" t="n">
        <x:v>0.9</x:v>
      </x:c>
      <x:c r="H10" s="38" t="n">
        <x:v>0.9</x:v>
      </x:c>
      <x:c r="I10" s="24" t="n">
        <x:v>12.5</x:v>
      </x:c>
      <x:c r="J10" s="38" t="n">
        <x:v>1.25</x:v>
      </x:c>
      <x:c r="K10" s="24" t="n">
        <x:v>2</x:v>
      </x:c>
      <x:c r="L10" s="38" t="n">
        <x:v>1.25</x:v>
      </x:c>
      <x:c r="M10" s="25" t="str">
        <x:v>สูง</x:v>
      </x:c>
    </x:row>
    <x:row r="11">
      <x:c r="A11" s="23" t="n">
        <x:v>10</x:v>
      </x:c>
      <x:c r="B11" s="24" t="str">
        <x:v>Cig004</x:v>
      </x:c>
      <x:c r="C11" s="24" t="str">
        <x:v>Cigarette</x:v>
      </x:c>
      <x:c r="D11" s="24" t="n">
        <x:v>2569</x:v>
      </x:c>
      <x:c r="E11" s="24" t="n">
        <x:v>10.4</x:v>
      </x:c>
      <x:c r="F11" s="38" t="n">
        <x:v>1.04</x:v>
      </x:c>
      <x:c r="G11" s="24" t="n">
        <x:v>0.95</x:v>
      </x:c>
      <x:c r="H11" s="38" t="n">
        <x:v>0.95</x:v>
      </x:c>
      <x:c r="I11" s="24" t="n">
        <x:v>11</x:v>
      </x:c>
      <x:c r="J11" s="38" t="n">
        <x:v>1.1</x:v>
      </x:c>
      <x:c r="K11" s="24" t="n">
        <x:v>2</x:v>
      </x:c>
      <x:c r="L11" s="38" t="n">
        <x:v>1.1</x:v>
      </x:c>
      <x:c r="M11" s="25" t="str">
        <x:v>สูง</x:v>
      </x:c>
    </x:row>
    <x:row r="12">
      <x:c r="A12" s="23" t="n">
        <x:v>11</x:v>
      </x:c>
      <x:c r="B12" s="24" t="str">
        <x:v>Cig013</x:v>
      </x:c>
      <x:c r="C12" s="24" t="str">
        <x:v>Cigarette</x:v>
      </x:c>
      <x:c r="D12" s="24" t="n">
        <x:v>2569</x:v>
      </x:c>
      <x:c r="E12" s="24" t="n">
        <x:v>10.3</x:v>
      </x:c>
      <x:c r="F12" s="38" t="n">
        <x:v>1.03</x:v>
      </x:c>
      <x:c r="G12" s="24" t="n">
        <x:v>0.84</x:v>
      </x:c>
      <x:c r="H12" s="38" t="n">
        <x:v>0.84</x:v>
      </x:c>
      <x:c r="I12" s="24" t="n">
        <x:v>10.3</x:v>
      </x:c>
      <x:c r="J12" s="38" t="n">
        <x:v>1.03</x:v>
      </x:c>
      <x:c r="K12" s="24" t="n">
        <x:v>2</x:v>
      </x:c>
      <x:c r="L12" s="38" t="n">
        <x:v>1.03</x:v>
      </x:c>
      <x:c r="M12" s="25" t="str">
        <x:v>สูง</x:v>
      </x:c>
    </x:row>
    <x:row r="13">
      <x:c r="A13" s="23" t="n">
        <x:v>12</x:v>
      </x:c>
      <x:c r="B13" s="24" t="str">
        <x:v>Cig012</x:v>
      </x:c>
      <x:c r="C13" s="24" t="str">
        <x:v>Cigarette</x:v>
      </x:c>
      <x:c r="D13" s="24" t="n">
        <x:v>2569</x:v>
      </x:c>
      <x:c r="E13" s="24" t="n">
        <x:v>9.8</x:v>
      </x:c>
      <x:c r="F13" s="38" t="n">
        <x:v>0.9800000000000001</x:v>
      </x:c>
      <x:c r="G13" s="24" t="n">
        <x:v>0.68</x:v>
      </x:c>
      <x:c r="H13" s="38" t="n">
        <x:v>0.68</x:v>
      </x:c>
      <x:c r="I13" s="24" t="n">
        <x:v>12.7</x:v>
      </x:c>
      <x:c r="J13" s="38" t="n">
        <x:v>1.27</x:v>
      </x:c>
      <x:c r="K13" s="24" t="n">
        <x:v>1</x:v>
      </x:c>
      <x:c r="L13" s="38" t="n">
        <x:v>1.27</x:v>
      </x:c>
      <x:c r="M13" s="25" t="str">
        <x:v>เฝ้าระวัง</x:v>
      </x:c>
    </x:row>
    <x:row r="14">
      <x:c r="A14" s="23" t="n">
        <x:v>13</x:v>
      </x:c>
      <x:c r="B14" s="24" t="str">
        <x:v>Cig011</x:v>
      </x:c>
      <x:c r="C14" s="24" t="str">
        <x:v>Cigarette</x:v>
      </x:c>
      <x:c r="D14" s="24" t="n">
        <x:v>2569</x:v>
      </x:c>
      <x:c r="E14" s="24" t="n">
        <x:v>9.5</x:v>
      </x:c>
      <x:c r="F14" s="38" t="n">
        <x:v>0.95</x:v>
      </x:c>
      <x:c r="G14" s="24" t="n">
        <x:v>0.66</x:v>
      </x:c>
      <x:c r="H14" s="38" t="n">
        <x:v>0.66</x:v>
      </x:c>
      <x:c r="I14" s="24" t="n">
        <x:v>12.4</x:v>
      </x:c>
      <x:c r="J14" s="38" t="n">
        <x:v>1.24</x:v>
      </x:c>
      <x:c r="K14" s="24" t="n">
        <x:v>1</x:v>
      </x:c>
      <x:c r="L14" s="38" t="n">
        <x:v>1.24</x:v>
      </x:c>
      <x:c r="M14" s="25" t="str">
        <x:v>เฝ้าระวัง</x:v>
      </x:c>
    </x:row>
    <x:row r="15">
      <x:c r="A15" s="23" t="n">
        <x:v>14</x:v>
      </x:c>
      <x:c r="B15" s="24" t="str">
        <x:v>Cig018</x:v>
      </x:c>
      <x:c r="C15" s="24" t="str">
        <x:v>Cigarette</x:v>
      </x:c>
      <x:c r="D15" s="24" t="n">
        <x:v>2569</x:v>
      </x:c>
      <x:c r="E15" s="24" t="n">
        <x:v>12</x:v>
      </x:c>
      <x:c r="F15" s="38" t="n">
        <x:v>1.2</x:v>
      </x:c>
      <x:c r="G15" s="24" t="n">
        <x:v>0.7</x:v>
      </x:c>
      <x:c r="H15" s="38" t="n">
        <x:v>0.7</x:v>
      </x:c>
      <x:c r="I15" s="24" t="n">
        <x:v>9</x:v>
      </x:c>
      <x:c r="J15" s="38" t="n">
        <x:v>0.9</x:v>
      </x:c>
      <x:c r="K15" s="24" t="n">
        <x:v>1</x:v>
      </x:c>
      <x:c r="L15" s="38" t="n">
        <x:v>1.2</x:v>
      </x:c>
      <x:c r="M15" s="25" t="str">
        <x:v>เฝ้าระวัง</x:v>
      </x:c>
    </x:row>
    <x:row r="16">
      <x:c r="A16" s="23" t="n">
        <x:v>15</x:v>
      </x:c>
      <x:c r="B16" s="24" t="str">
        <x:v>Cig010</x:v>
      </x:c>
      <x:c r="C16" s="24" t="str">
        <x:v>Cigarette</x:v>
      </x:c>
      <x:c r="D16" s="24" t="n">
        <x:v>2568</x:v>
      </x:c>
      <x:c r="E16" s="24" t="n">
        <x:v>11.8</x:v>
      </x:c>
      <x:c r="F16" s="38" t="n">
        <x:v>1.1800000000000002</x:v>
      </x:c>
      <x:c r="G16" s="24" t="n">
        <x:v>0.45</x:v>
      </x:c>
      <x:c r="H16" s="38" t="n">
        <x:v>0.45</x:v>
      </x:c>
      <x:c r="I16" s="24" t="n">
        <x:v>9.3</x:v>
      </x:c>
      <x:c r="J16" s="38" t="n">
        <x:v>0.93</x:v>
      </x:c>
      <x:c r="K16" s="24" t="n">
        <x:v>1</x:v>
      </x:c>
      <x:c r="L16" s="38" t="n">
        <x:v>1.1800000000000002</x:v>
      </x:c>
      <x:c r="M16" s="25" t="str">
        <x:v>เฝ้าระวัง</x:v>
      </x:c>
    </x:row>
    <x:row r="17">
      <x:c r="A17" s="23" t="n">
        <x:v>16</x:v>
      </x:c>
      <x:c r="B17" s="24" t="str">
        <x:v>Cig011</x:v>
      </x:c>
      <x:c r="C17" s="24" t="str">
        <x:v>Cigarette</x:v>
      </x:c>
      <x:c r="D17" s="24" t="n">
        <x:v>2568</x:v>
      </x:c>
      <x:c r="E17" s="24" t="n">
        <x:v>11.6</x:v>
      </x:c>
      <x:c r="F17" s="38" t="n">
        <x:v>1.16</x:v>
      </x:c>
      <x:c r="G17" s="24" t="n">
        <x:v>0.81</x:v>
      </x:c>
      <x:c r="H17" s="38" t="n">
        <x:v>0.81</x:v>
      </x:c>
      <x:c r="I17" s="24" t="n">
        <x:v>9.6</x:v>
      </x:c>
      <x:c r="J17" s="38" t="n">
        <x:v>0.96</x:v>
      </x:c>
      <x:c r="K17" s="24" t="n">
        <x:v>1</x:v>
      </x:c>
      <x:c r="L17" s="38" t="n">
        <x:v>1.16</x:v>
      </x:c>
      <x:c r="M17" s="25" t="str">
        <x:v>เฝ้าระวัง</x:v>
      </x:c>
    </x:row>
    <x:row r="18">
      <x:c r="A18" s="23" t="n">
        <x:v>17</x:v>
      </x:c>
      <x:c r="B18" s="24" t="str">
        <x:v>Cig032</x:v>
      </x:c>
      <x:c r="C18" s="24" t="str">
        <x:v>Cigarette</x:v>
      </x:c>
      <x:c r="D18" s="24" t="n">
        <x:v>2569</x:v>
      </x:c>
      <x:c r="E18" s="24" t="n">
        <x:v>11.36</x:v>
      </x:c>
      <x:c r="F18" s="38" t="n">
        <x:v>1.136</x:v>
      </x:c>
      <x:c r="G18" s="24" t="n">
        <x:v>0.01</x:v>
      </x:c>
      <x:c r="H18" s="38" t="n">
        <x:v>0.01</x:v>
      </x:c>
      <x:c r="I18" s="24" t="n">
        <x:v>0.3</x:v>
      </x:c>
      <x:c r="J18" s="38" t="n">
        <x:v>0.03</x:v>
      </x:c>
      <x:c r="K18" s="24" t="n">
        <x:v>1</x:v>
      </x:c>
      <x:c r="L18" s="38" t="n">
        <x:v>1.136</x:v>
      </x:c>
      <x:c r="M18" s="25" t="str">
        <x:v>เฝ้าระวัง</x:v>
      </x:c>
    </x:row>
    <x:row r="19">
      <x:c r="A19" s="23" t="n">
        <x:v>18</x:v>
      </x:c>
      <x:c r="B19" s="24" t="str">
        <x:v>Cig014</x:v>
      </x:c>
      <x:c r="C19" s="24" t="str">
        <x:v>Cigarette</x:v>
      </x:c>
      <x:c r="D19" s="24" t="n">
        <x:v>2569</x:v>
      </x:c>
      <x:c r="E19" s="24" t="n">
        <x:v>10.7</x:v>
      </x:c>
      <x:c r="F19" s="38" t="n">
        <x:v>1.0699999999999998</x:v>
      </x:c>
      <x:c r="G19" s="24" t="n">
        <x:v>0.84</x:v>
      </x:c>
      <x:c r="H19" s="38" t="n">
        <x:v>0.84</x:v>
      </x:c>
      <x:c r="I19" s="24" t="n">
        <x:v>8.8</x:v>
      </x:c>
      <x:c r="J19" s="38" t="n">
        <x:v>0.8800000000000001</x:v>
      </x:c>
      <x:c r="K19" s="24" t="n">
        <x:v>1</x:v>
      </x:c>
      <x:c r="L19" s="38" t="n">
        <x:v>1.0699999999999998</x:v>
      </x:c>
      <x:c r="M19" s="25" t="str">
        <x:v>เฝ้าระวัง</x:v>
      </x:c>
    </x:row>
    <x:row r="20">
      <x:c r="A20" s="23" t="n">
        <x:v>19</x:v>
      </x:c>
      <x:c r="B20" s="24" t="str">
        <x:v>Cig015</x:v>
      </x:c>
      <x:c r="C20" s="24" t="str">
        <x:v>Cigarette</x:v>
      </x:c>
      <x:c r="D20" s="24" t="n">
        <x:v>2569</x:v>
      </x:c>
      <x:c r="E20" s="24" t="n">
        <x:v>10.7</x:v>
      </x:c>
      <x:c r="F20" s="38" t="n">
        <x:v>1.0699999999999998</x:v>
      </x:c>
      <x:c r="G20" s="24" t="n">
        <x:v>0.84</x:v>
      </x:c>
      <x:c r="H20" s="38" t="n">
        <x:v>0.84</x:v>
      </x:c>
      <x:c r="I20" s="24" t="n">
        <x:v>8.8</x:v>
      </x:c>
      <x:c r="J20" s="38" t="n">
        <x:v>0.8800000000000001</x:v>
      </x:c>
      <x:c r="K20" s="24" t="n">
        <x:v>1</x:v>
      </x:c>
      <x:c r="L20" s="38" t="n">
        <x:v>1.0699999999999998</x:v>
      </x:c>
      <x:c r="M20" s="25" t="str">
        <x:v>เฝ้าระวัง</x:v>
      </x:c>
    </x:row>
    <x:row r="21">
      <x:c r="A21" s="23" t="n">
        <x:v>20</x:v>
      </x:c>
      <x:c r="B21" s="24" t="str">
        <x:v>Cig016</x:v>
      </x:c>
      <x:c r="C21" s="24" t="str">
        <x:v>Cigarette</x:v>
      </x:c>
      <x:c r="D21" s="24" t="n">
        <x:v>2569</x:v>
      </x:c>
      <x:c r="E21" s="24" t="n">
        <x:v>10.7</x:v>
      </x:c>
      <x:c r="F21" s="38" t="n">
        <x:v>1.0699999999999998</x:v>
      </x:c>
      <x:c r="G21" s="24" t="n">
        <x:v>0.84</x:v>
      </x:c>
      <x:c r="H21" s="38" t="n">
        <x:v>0.84</x:v>
      </x:c>
      <x:c r="I21" s="24" t="n">
        <x:v>8.8</x:v>
      </x:c>
      <x:c r="J21" s="38" t="n">
        <x:v>0.8800000000000001</x:v>
      </x:c>
      <x:c r="K21" s="24" t="n">
        <x:v>1</x:v>
      </x:c>
      <x:c r="L21" s="38" t="n">
        <x:v>1.0699999999999998</x:v>
      </x:c>
      <x:c r="M21" s="25" t="str">
        <x:v>เฝ้าระวัง</x:v>
      </x:c>
    </x:row>
    <x:row r="22">
      <x:c r="A22" s="23" t="n">
        <x:v>21</x:v>
      </x:c>
      <x:c r="B22" s="24" t="str">
        <x:v>Cig017</x:v>
      </x:c>
      <x:c r="C22" s="24" t="str">
        <x:v>Cigarette</x:v>
      </x:c>
      <x:c r="D22" s="24" t="n">
        <x:v>2569</x:v>
      </x:c>
      <x:c r="E22" s="24" t="n">
        <x:v>10.7</x:v>
      </x:c>
      <x:c r="F22" s="38" t="n">
        <x:v>1.0699999999999998</x:v>
      </x:c>
      <x:c r="G22" s="24" t="n">
        <x:v>0.84</x:v>
      </x:c>
      <x:c r="H22" s="38" t="n">
        <x:v>0.84</x:v>
      </x:c>
      <x:c r="I22" s="24" t="n">
        <x:v>8.8</x:v>
      </x:c>
      <x:c r="J22" s="38" t="n">
        <x:v>0.8800000000000001</x:v>
      </x:c>
      <x:c r="K22" s="24" t="n">
        <x:v>1</x:v>
      </x:c>
      <x:c r="L22" s="38" t="n">
        <x:v>1.0699999999999998</x:v>
      </x:c>
      <x:c r="M22" s="25" t="str">
        <x:v>เฝ้าระวัง</x:v>
      </x:c>
    </x:row>
    <x:row r="23">
      <x:c r="A23" s="23" t="n">
        <x:v>22</x:v>
      </x:c>
      <x:c r="B23" s="24" t="str">
        <x:v>Cig013</x:v>
      </x:c>
      <x:c r="C23" s="24" t="str">
        <x:v>Cigarette</x:v>
      </x:c>
      <x:c r="D23" s="24" t="n">
        <x:v>2568</x:v>
      </x:c>
      <x:c r="E23" s="24" t="n">
        <x:v>8.9</x:v>
      </x:c>
      <x:c r="F23" s="38" t="n">
        <x:v>0.89</x:v>
      </x:c>
      <x:c r="G23" s="24" t="n">
        <x:v>0.79</x:v>
      </x:c>
      <x:c r="H23" s="38" t="n">
        <x:v>0.79</x:v>
      </x:c>
      <x:c r="I23" s="24" t="n">
        <x:v>10.2</x:v>
      </x:c>
      <x:c r="J23" s="38" t="n">
        <x:v>1.02</x:v>
      </x:c>
      <x:c r="K23" s="24" t="n">
        <x:v>1</x:v>
      </x:c>
      <x:c r="L23" s="38" t="n">
        <x:v>1.02</x:v>
      </x:c>
      <x:c r="M23" s="25" t="str">
        <x:v>เฝ้าระวัง</x:v>
      </x:c>
    </x:row>
    <x:row r="24">
      <x:c r="A24" s="23" t="n">
        <x:v>23</x:v>
      </x:c>
      <x:c r="B24" s="24" t="str">
        <x:v>Cig008</x:v>
      </x:c>
      <x:c r="C24" s="24" t="str">
        <x:v>Cigarette</x:v>
      </x:c>
      <x:c r="D24" s="24" t="n">
        <x:v>2568</x:v>
      </x:c>
      <x:c r="E24" s="24" t="n">
        <x:v>6.9</x:v>
      </x:c>
      <x:c r="F24" s="38" t="n">
        <x:v>0.69</x:v>
      </x:c>
      <x:c r="G24" s="24" t="n">
        <x:v>0.46</x:v>
      </x:c>
      <x:c r="H24" s="38" t="n">
        <x:v>0.46</x:v>
      </x:c>
      <x:c r="I24" s="24" t="n">
        <x:v>10.1</x:v>
      </x:c>
      <x:c r="J24" s="38" t="n">
        <x:v>1.01</x:v>
      </x:c>
      <x:c r="K24" s="24" t="n">
        <x:v>1</x:v>
      </x:c>
      <x:c r="L24" s="38" t="n">
        <x:v>1.01</x:v>
      </x:c>
      <x:c r="M24" s="25" t="str">
        <x:v>เฝ้าระวัง</x:v>
      </x:c>
    </x:row>
    <x:row r="25">
      <x:c r="A25" s="23" t="n">
        <x:v>24</x:v>
      </x:c>
      <x:c r="B25" s="24" t="str">
        <x:v>Cig012</x:v>
      </x:c>
      <x:c r="C25" s="24" t="str">
        <x:v>Cigarette</x:v>
      </x:c>
      <x:c r="D25" s="24" t="n">
        <x:v>2568</x:v>
      </x:c>
      <x:c r="E25" s="24" t="n">
        <x:v>9.1</x:v>
      </x:c>
      <x:c r="F25" s="38" t="n">
        <x:v>0.9099999999999998</x:v>
      </x:c>
      <x:c r="G25" s="24" t="n">
        <x:v>0.85</x:v>
      </x:c>
      <x:c r="H25" s="38" t="n">
        <x:v>0.85</x:v>
      </x:c>
      <x:c r="I25" s="24" t="n">
        <x:v>10.1</x:v>
      </x:c>
      <x:c r="J25" s="38" t="n">
        <x:v>1.01</x:v>
      </x:c>
      <x:c r="K25" s="24" t="n">
        <x:v>1</x:v>
      </x:c>
      <x:c r="L25" s="38" t="n">
        <x:v>1.01</x:v>
      </x:c>
      <x:c r="M25" s="25" t="str">
        <x:v>เฝ้าระวัง</x:v>
      </x:c>
    </x:row>
    <x:row r="26">
      <x:c r="A26" s="26" t="n">
        <x:v>25</x:v>
      </x:c>
      <x:c r="B26" s="27" t="str">
        <x:v>Cig014</x:v>
      </x:c>
      <x:c r="C26" s="27" t="str">
        <x:v>Cigarette</x:v>
      </x:c>
      <x:c r="D26" s="27" t="n">
        <x:v>2568</x:v>
      </x:c>
      <x:c r="E26" s="27" t="n">
        <x:v>6.9</x:v>
      </x:c>
      <x:c r="F26" s="39" t="n">
        <x:v>0.69</x:v>
      </x:c>
      <x:c r="G26" s="27" t="n">
        <x:v>0.46</x:v>
      </x:c>
      <x:c r="H26" s="39" t="n">
        <x:v>0.46</x:v>
      </x:c>
      <x:c r="I26" s="27" t="n">
        <x:v>10.1</x:v>
      </x:c>
      <x:c r="J26" s="39" t="n">
        <x:v>1.01</x:v>
      </x:c>
      <x:c r="K26" s="27" t="n">
        <x:v>1</x:v>
      </x:c>
      <x:c r="L26" s="39" t="n">
        <x:v>1.01</x:v>
      </x:c>
      <x:c r="M26" s="28" t="str">
        <x:v>เฝ้าระวัง</x:v>
      </x:c>
    </x:row>
  </x:sheetData>
  <x:conditionalFormatting sqref="M2:M26">
    <x:cfRule type="expression" dxfId="11" priority="1">
      <x:formula>M2="สูงมาก"</x:formula>
    </x:cfRule>
    <x:cfRule type="expression" dxfId="12" priority="2">
      <x:formula>M2="สูง"</x:formula>
    </x:cfRule>
    <x:cfRule type="expression" dxfId="13" priority="3">
      <x:formula>M2="เฝ้าระวัง"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d63238c9e61456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0" hidden="0" customWidth="1"/>
    <x:col min="3" max="3" width="24" hidden="0" customWidth="1"/>
    <x:col min="4" max="4" width="10" hidden="0" customWidth="1"/>
    <x:col min="5" max="5" width="22" hidden="0" customWidth="1"/>
    <x:col min="6" max="6" width="10" hidden="0" customWidth="1"/>
    <x:col min="7" max="7" width="22" hidden="0" customWidth="1"/>
    <x:col min="8" max="8" width="11" hidden="0" customWidth="1"/>
  </x:cols>
  <x:sheetData>
    <x:row r="1" ht="28" customHeight="1">
      <x:c r="A1" s="122" t="str">
        <x:v>สรุปผลการเปรียบเทียบค่าทาร์ นิโคติน และคาร์บอนมอนอกไซด์กับค่าที่กำหนด</x:v>
      </x:c>
      <x:c r="B1" s="122"/>
      <x:c r="C1" s="122"/>
      <x:c r="D1" s="122"/>
      <x:c r="E1" s="122"/>
      <x:c r="F1" s="122"/>
      <x:c r="G1" s="122"/>
      <x:c r="H1" s="122"/>
    </x:row>
    <x:row r="2" ht="28" customHeight="1">
      <x:c r="A2" s="61" t="str">
        <x:v>หมายเหตุ: ในไฟล์ต้นทาง คอลัมน์ Company_ID มีลักษณะเป็นรหัสผลิตภัณฑ์ (เช่น Cig001) จึงสรุปผลระดับ Product ID; หากต้องการสรุประดับบริษัท ต้องมี Company_ID แยกต่างหาก</x:v>
      </x:c>
      <x:c r="B2" s="61"/>
      <x:c r="C2" s="61"/>
      <x:c r="D2" s="61"/>
      <x:c r="E2" s="61"/>
      <x:c r="F2" s="61"/>
      <x:c r="G2" s="61"/>
      <x:c r="H2" s="61"/>
    </x:row>
    <x:row r="3">
      <x:c r="A3" s="123"/>
      <x:c r="B3" s="123"/>
      <x:c r="C3" s="123"/>
      <x:c r="D3" s="123"/>
      <x:c r="E3" s="123"/>
      <x:c r="F3" s="123"/>
      <x:c r="G3" s="123"/>
      <x:c r="H3" s="123"/>
    </x:row>
    <x:row r="4" ht="38" customHeight="1">
      <x:c r="A4" s="103" t="str">
        <x:v>จำนวนรายการทั้งหมด</x:v>
      </x:c>
      <x:c r="B4" s="124" t="n">
        <x:f>COUNTA('วิเคราะห์เทียบเกณฑ์'!A2:A49)</x:f>
        <x:v>48</x:v>
      </x:c>
      <x:c r="C4" s="119" t="str">
        <x:v>Product ที่เกินอย่างน้อย 1 สาร (ไม่นับซ้ำ)</x:v>
      </x:c>
      <x:c r="D4" s="125" t="n">
        <x:f>COUNTIF('วิเคราะห์เทียบเกณฑ์'!P2:P49,"&gt;0")</x:f>
        <x:v>25</x:v>
      </x:c>
      <x:c r="E4" s="103" t="str">
        <x:v>Product ที่ไม่เกินทั้ง 3 สาร</x:v>
      </x:c>
      <x:c r="F4" s="124" t="n">
        <x:f>COUNTIF('วิเคราะห์เทียบเกณฑ์'!P2:P49,0)</x:f>
        <x:v>23</x:v>
      </x:c>
      <x:c r="G4" s="103" t="str">
        <x:v>% Product ที่เกิน ≥1 สาร</x:v>
      </x:c>
      <x:c r="H4" s="126" t="n">
        <x:f>D4/B4</x:f>
        <x:v>0.5208333333333334</x:v>
      </x:c>
    </x:row>
    <x:row r="5">
      <x:c r="A5" s="123"/>
      <x:c r="B5" s="123"/>
      <x:c r="C5" s="123"/>
      <x:c r="D5" s="123"/>
      <x:c r="E5" s="123"/>
      <x:c r="F5" s="123"/>
      <x:c r="G5" s="123"/>
      <x:c r="H5" s="123"/>
    </x:row>
    <x:row r="6" ht="34" customHeight="1">
      <x:c r="A6" s="113" t="str">
        <x:v>เกิน 1 สาร (เฉพาะ 1 สาร)</x:v>
      </x:c>
      <x:c r="B6" s="127" t="n">
        <x:f>COUNTIF('วิเคราะห์เทียบเกณฑ์'!P2:P49,1)</x:f>
        <x:v>14</x:v>
      </x:c>
      <x:c r="C6" s="113" t="str">
        <x:v>เกิน 2 สาร (เฉพาะ 2 สาร)</x:v>
      </x:c>
      <x:c r="D6" s="127" t="n">
        <x:f>COUNTIF('วิเคราะห์เทียบเกณฑ์'!P2:P49,2)</x:f>
        <x:v>7</x:v>
      </x:c>
      <x:c r="E6" s="113" t="str">
        <x:v>เกิน 3 สาร</x:v>
      </x:c>
      <x:c r="F6" s="127" t="n">
        <x:f>COUNTIF('วิเคราะห์เทียบเกณฑ์'!P2:P49,3)</x:f>
        <x:v>4</x:v>
      </x:c>
      <x:c r="G6" s="113" t="str">
        <x:v>รวม Product ที่เกิน</x:v>
      </x:c>
      <x:c r="H6" s="127" t="n">
        <x:f>SUM(B6,D6,F6)</x:f>
        <x:v>25</x:v>
      </x:c>
    </x:row>
    <x:row r="7" ht="34" customHeight="1">
      <x:c r="A7" s="103" t="str">
        <x:v>Tar สูงกว่าเกณฑ์</x:v>
      </x:c>
      <x:c r="B7" s="124" t="n">
        <x:f>COUNTIF('วิเคราะห์เทียบเกณฑ์'!M2:M49,"เกินเกณฑ์")</x:f>
        <x:v>19</x:v>
      </x:c>
      <x:c r="C7" s="103" t="str">
        <x:v>Nicotine สูงกว่าเกณฑ์</x:v>
      </x:c>
      <x:c r="D7" s="124" t="n">
        <x:f>COUNTIF('วิเคราะห์เทียบเกณฑ์'!N2:N49,"เกินเกณฑ์")</x:f>
        <x:v>4</x:v>
      </x:c>
      <x:c r="E7" s="103" t="str">
        <x:v>CO สูงกว่าเกณฑ์</x:v>
      </x:c>
      <x:c r="F7" s="124" t="n">
        <x:f>COUNTIF('วิเคราะห์เทียบเกณฑ์'!O2:O49,"เกินเกณฑ์")</x:f>
        <x:v>17</x:v>
      </x:c>
      <x:c r="G7" s="118"/>
      <x:c r="H7" s="127"/>
    </x:row>
    <x:row r="8" ht="26" customHeight="1">
      <x:c r="A8" s="146" t="str">
        <x:v>หมายเหตุ: จำนวน Product ที่เกินอย่างน้อย 1 สารนับแบบไม่ซ้ำ โดย 14 + 7 + 4 = 25 Product</x:v>
      </x:c>
      <x:c r="B8" s="123"/>
      <x:c r="C8" s="123"/>
      <x:c r="D8" s="123"/>
      <x:c r="E8" s="123"/>
      <x:c r="F8" s="123"/>
      <x:c r="G8" s="123"/>
      <x:c r="H8" s="123"/>
    </x:row>
    <x:row r="9">
      <x:c r="A9" s="123"/>
      <x:c r="B9" s="123"/>
      <x:c r="C9" s="123"/>
      <x:c r="D9" s="123"/>
      <x:c r="E9" s="123"/>
      <x:c r="F9" s="123"/>
      <x:c r="G9" s="123"/>
      <x:c r="H9" s="123"/>
    </x:row>
    <x:row r="10">
      <x:c r="A10" s="128" t="str">
        <x:v>ปี</x:v>
      </x:c>
      <x:c r="B10" s="129" t="str">
        <x:v>จำนวนรายการ</x:v>
      </x:c>
      <x:c r="C10" s="129" t="str">
        <x:v>เกิน ≥1 สาร</x:v>
      </x:c>
      <x:c r="D10" s="129" t="str">
        <x:v>Tar เกิน</x:v>
      </x:c>
      <x:c r="E10" s="129" t="str">
        <x:v>Nicotine เกิน</x:v>
      </x:c>
      <x:c r="F10" s="130" t="str">
        <x:v>CO เกิน</x:v>
      </x:c>
      <x:c r="G10" s="123"/>
      <x:c r="H10" s="123"/>
    </x:row>
    <x:row r="11">
      <x:c r="A11" s="131" t="n">
        <x:v>2568</x:v>
      </x:c>
      <x:c r="B11" s="123" t="n">
        <x:f>COUNTIF('วิเคราะห์เทียบเกณฑ์'!C2:C49,A11)</x:f>
        <x:v>16</x:v>
      </x:c>
      <x:c r="C11" s="123" t="n">
        <x:f>COUNTIFS('วิเคราะห์เทียบเกณฑ์'!C2:C49,A11,'วิเคราะห์เทียบเกณฑ์'!P2:P49,"&gt;0")</x:f>
        <x:v>7</x:v>
      </x:c>
      <x:c r="D11" s="123" t="n">
        <x:f>COUNTIFS('วิเคราะห์เทียบเกณฑ์'!C2:C49,A11,'วิเคราะห์เทียบเกณฑ์'!M2:M49,"เกินเกณฑ์")</x:f>
        <x:v>3</x:v>
      </x:c>
      <x:c r="E11" s="123" t="n">
        <x:f>COUNTIFS('วิเคราะห์เทียบเกณฑ์'!C2:C49,A11,'วิเคราะห์เทียบเกณฑ์'!N2:N49,"เกินเกณฑ์")</x:f>
        <x:v>0</x:v>
      </x:c>
      <x:c r="F11" s="132" t="n">
        <x:f>COUNTIFS('วิเคราะห์เทียบเกณฑ์'!C2:C49,A11,'วิเคราะห์เทียบเกณฑ์'!O2:O49,"เกินเกณฑ์")</x:f>
        <x:v>5</x:v>
      </x:c>
      <x:c r="G11" s="123"/>
      <x:c r="H11" s="123"/>
    </x:row>
    <x:row r="12">
      <x:c r="A12" s="133" t="n">
        <x:v>2569</x:v>
      </x:c>
      <x:c r="B12" s="134" t="n">
        <x:f>COUNTIF('วิเคราะห์เทียบเกณฑ์'!C2:C49,A12)</x:f>
        <x:v>32</x:v>
      </x:c>
      <x:c r="C12" s="134" t="n">
        <x:f>COUNTIFS('วิเคราะห์เทียบเกณฑ์'!C2:C49,A12,'วิเคราะห์เทียบเกณฑ์'!P2:P49,"&gt;0")</x:f>
        <x:v>18</x:v>
      </x:c>
      <x:c r="D12" s="134" t="n">
        <x:f>COUNTIFS('วิเคราะห์เทียบเกณฑ์'!C2:C49,A12,'วิเคราะห์เทียบเกณฑ์'!M2:M49,"เกินเกณฑ์")</x:f>
        <x:v>16</x:v>
      </x:c>
      <x:c r="E12" s="134" t="n">
        <x:f>COUNTIFS('วิเคราะห์เทียบเกณฑ์'!C2:C49,A12,'วิเคราะห์เทียบเกณฑ์'!N2:N49,"เกินเกณฑ์")</x:f>
        <x:v>4</x:v>
      </x:c>
      <x:c r="F12" s="135" t="n">
        <x:f>COUNTIFS('วิเคราะห์เทียบเกณฑ์'!C2:C49,A12,'วิเคราะห์เทียบเกณฑ์'!O2:O49,"เกินเกณฑ์")</x:f>
        <x:v>12</x:v>
      </x:c>
      <x:c r="G12" s="123"/>
      <x:c r="H12" s="123"/>
    </x:row>
    <x:row r="13">
      <x:c r="A13" s="123"/>
      <x:c r="B13" s="123"/>
      <x:c r="C13" s="123"/>
      <x:c r="D13" s="123"/>
      <x:c r="E13" s="123"/>
      <x:c r="F13" s="123"/>
      <x:c r="G13" s="123"/>
      <x:c r="H13" s="123"/>
    </x:row>
    <x:row r="14">
      <x:c r="A14" s="123"/>
      <x:c r="B14" s="123"/>
      <x:c r="C14" s="123"/>
      <x:c r="D14" s="123"/>
      <x:c r="E14" s="123"/>
      <x:c r="F14" s="123"/>
      <x:c r="G14" s="123"/>
      <x:c r="H14" s="123"/>
    </x:row>
    <x:row r="15">
      <x:c r="A15" s="136" t="str">
        <x:v>อันดับ</x:v>
      </x:c>
      <x:c r="B15" s="137" t="str">
        <x:v>Product_ID</x:v>
      </x:c>
      <x:c r="C15" s="137" t="str">
        <x:v>ปี</x:v>
      </x:c>
      <x:c r="D15" s="137" t="str">
        <x:v>จำนวนสารเกิน</x:v>
      </x:c>
      <x:c r="E15" s="137" t="str">
        <x:v>Tar_%</x:v>
      </x:c>
      <x:c r="F15" s="137" t="str">
        <x:v>Nicotine_%</x:v>
      </x:c>
      <x:c r="G15" s="137" t="str">
        <x:v>CO_%</x:v>
      </x:c>
      <x:c r="H15" s="138" t="str">
        <x:v>ค่าสูงสุด</x:v>
      </x:c>
    </x:row>
    <x:row r="16">
      <x:c r="A16" s="131" t="n">
        <x:v>1</x:v>
      </x:c>
      <x:c r="B16" s="123" t="str">
        <x:v>Cig029</x:v>
      </x:c>
      <x:c r="C16" s="123" t="n">
        <x:v>2569</x:v>
      </x:c>
      <x:c r="D16" s="123" t="n">
        <x:v>3</x:v>
      </x:c>
      <x:c r="E16" s="139" t="n">
        <x:v>1.987</x:v>
      </x:c>
      <x:c r="F16" s="139" t="n">
        <x:v>1.48</x:v>
      </x:c>
      <x:c r="G16" s="139" t="n">
        <x:v>1.495</x:v>
      </x:c>
      <x:c r="H16" s="140" t="n">
        <x:v>1.987</x:v>
      </x:c>
    </x:row>
    <x:row r="17">
      <x:c r="A17" s="131" t="n">
        <x:v>2</x:v>
      </x:c>
      <x:c r="B17" s="123" t="str">
        <x:v>Cig023</x:v>
      </x:c>
      <x:c r="C17" s="123" t="n">
        <x:v>2569</x:v>
      </x:c>
      <x:c r="D17" s="123" t="n">
        <x:v>3</x:v>
      </x:c>
      <x:c r="E17" s="139" t="n">
        <x:v>1.1</x:v>
      </x:c>
      <x:c r="F17" s="139" t="n">
        <x:v>1.1</x:v>
      </x:c>
      <x:c r="G17" s="139" t="n">
        <x:v>1.3</x:v>
      </x:c>
      <x:c r="H17" s="140" t="n">
        <x:v>1.3</x:v>
      </x:c>
    </x:row>
    <x:row r="18">
      <x:c r="A18" s="131" t="n">
        <x:v>3</x:v>
      </x:c>
      <x:c r="B18" s="123" t="str">
        <x:v>Cig007</x:v>
      </x:c>
      <x:c r="C18" s="123" t="n">
        <x:v>2569</x:v>
      </x:c>
      <x:c r="D18" s="123" t="n">
        <x:v>3</x:v>
      </x:c>
      <x:c r="E18" s="139" t="n">
        <x:v>1.1</x:v>
      </x:c>
      <x:c r="F18" s="139" t="n">
        <x:v>1.2</x:v>
      </x:c>
      <x:c r="G18" s="139" t="n">
        <x:v>1.1</x:v>
      </x:c>
      <x:c r="H18" s="140" t="n">
        <x:v>1.2</x:v>
      </x:c>
    </x:row>
    <x:row r="19">
      <x:c r="A19" s="131" t="n">
        <x:v>4</x:v>
      </x:c>
      <x:c r="B19" s="123" t="str">
        <x:v>Cig006</x:v>
      </x:c>
      <x:c r="C19" s="123" t="n">
        <x:v>2569</x:v>
      </x:c>
      <x:c r="D19" s="123" t="n">
        <x:v>3</x:v>
      </x:c>
      <x:c r="E19" s="139" t="n">
        <x:v>1.04</x:v>
      </x:c>
      <x:c r="F19" s="139" t="n">
        <x:v>1.06</x:v>
      </x:c>
      <x:c r="G19" s="139" t="n">
        <x:v>1.105</x:v>
      </x:c>
      <x:c r="H19" s="140" t="n">
        <x:v>1.105</x:v>
      </x:c>
    </x:row>
    <x:row r="20">
      <x:c r="A20" s="131" t="n">
        <x:v>5</x:v>
      </x:c>
      <x:c r="B20" s="123" t="str">
        <x:v>Cig004</x:v>
      </x:c>
      <x:c r="C20" s="123" t="n">
        <x:v>2568</x:v>
      </x:c>
      <x:c r="D20" s="123" t="n">
        <x:v>2</x:v>
      </x:c>
      <x:c r="E20" s="139" t="n">
        <x:v>1.4</x:v>
      </x:c>
      <x:c r="F20" s="139" t="n">
        <x:v>0.9</x:v>
      </x:c>
      <x:c r="G20" s="139" t="n">
        <x:v>1.3</x:v>
      </x:c>
      <x:c r="H20" s="140" t="n">
        <x:v>1.4</x:v>
      </x:c>
    </x:row>
    <x:row r="21">
      <x:c r="A21" s="131" t="n">
        <x:v>6</x:v>
      </x:c>
      <x:c r="B21" s="123" t="str">
        <x:v>Cig019</x:v>
      </x:c>
      <x:c r="C21" s="123" t="n">
        <x:v>2569</x:v>
      </x:c>
      <x:c r="D21" s="123" t="n">
        <x:v>2</x:v>
      </x:c>
      <x:c r="E21" s="139" t="n">
        <x:v>1.4</x:v>
      </x:c>
      <x:c r="F21" s="139" t="n">
        <x:v>0.9</x:v>
      </x:c>
      <x:c r="G21" s="139" t="n">
        <x:v>1.3</x:v>
      </x:c>
      <x:c r="H21" s="140" t="n">
        <x:v>1.4</x:v>
      </x:c>
    </x:row>
    <x:row r="22">
      <x:c r="A22" s="131" t="n">
        <x:v>7</x:v>
      </x:c>
      <x:c r="B22" s="123" t="str">
        <x:v>Cig020</x:v>
      </x:c>
      <x:c r="C22" s="123" t="n">
        <x:v>2569</x:v>
      </x:c>
      <x:c r="D22" s="123" t="n">
        <x:v>2</x:v>
      </x:c>
      <x:c r="E22" s="139" t="n">
        <x:v>1.4</x:v>
      </x:c>
      <x:c r="F22" s="139" t="n">
        <x:v>0.9</x:v>
      </x:c>
      <x:c r="G22" s="139" t="n">
        <x:v>1.3</x:v>
      </x:c>
      <x:c r="H22" s="140" t="n">
        <x:v>1.4</x:v>
      </x:c>
    </x:row>
    <x:row r="23">
      <x:c r="A23" s="131" t="n">
        <x:v>8</x:v>
      </x:c>
      <x:c r="B23" s="123" t="str">
        <x:v>Cig021</x:v>
      </x:c>
      <x:c r="C23" s="123" t="n">
        <x:v>2569</x:v>
      </x:c>
      <x:c r="D23" s="123" t="n">
        <x:v>2</x:v>
      </x:c>
      <x:c r="E23" s="139" t="n">
        <x:v>1.4</x:v>
      </x:c>
      <x:c r="F23" s="139" t="n">
        <x:v>0.9</x:v>
      </x:c>
      <x:c r="G23" s="139" t="n">
        <x:v>1.3</x:v>
      </x:c>
      <x:c r="H23" s="140" t="n">
        <x:v>1.4</x:v>
      </x:c>
    </x:row>
    <x:row r="24">
      <x:c r="A24" s="131" t="n">
        <x:v>9</x:v>
      </x:c>
      <x:c r="B24" s="123" t="str">
        <x:v>Cig005</x:v>
      </x:c>
      <x:c r="C24" s="123" t="n">
        <x:v>2569</x:v>
      </x:c>
      <x:c r="D24" s="123" t="n">
        <x:v>2</x:v>
      </x:c>
      <x:c r="E24" s="139" t="n">
        <x:v>1.16</x:v>
      </x:c>
      <x:c r="F24" s="139" t="n">
        <x:v>0.9</x:v>
      </x:c>
      <x:c r="G24" s="139" t="n">
        <x:v>1.25</x:v>
      </x:c>
      <x:c r="H24" s="140" t="n">
        <x:v>1.25</x:v>
      </x:c>
    </x:row>
    <x:row r="25">
      <x:c r="A25" s="133" t="n">
        <x:v>10</x:v>
      </x:c>
      <x:c r="B25" s="134" t="str">
        <x:v>Cig004</x:v>
      </x:c>
      <x:c r="C25" s="134" t="n">
        <x:v>2569</x:v>
      </x:c>
      <x:c r="D25" s="134" t="n">
        <x:v>2</x:v>
      </x:c>
      <x:c r="E25" s="141" t="n">
        <x:v>1.04</x:v>
      </x:c>
      <x:c r="F25" s="141" t="n">
        <x:v>0.95</x:v>
      </x:c>
      <x:c r="G25" s="141" t="n">
        <x:v>1.1</x:v>
      </x:c>
      <x:c r="H25" s="142" t="n">
        <x:v>1.1</x:v>
      </x:c>
    </x:row>
  </x:sheetData>
  <x:mergeCells>
    <x:mergeCell ref="A1:H1"/>
    <x:mergeCell ref="A2:H2"/>
    <x:mergeCell ref="A8:H8"/>
  </x:mergeCells>
  <x:conditionalFormatting sqref="H16:H25">
    <x:cfRule type="colorScale" priority="1">
      <x:colorScale>
        <x:cfvo type="min"/>
        <x:cfvo type="percentile" val="50"/>
        <x:cfvo type="max"/>
        <x:color rgb="FFFFF2CC"/>
        <x:color rgb="FFF4B183"/>
        <x:color rgb="FFC00000"/>
      </x:colorScale>
    </x:cfRule>
  </x:conditionalFormatting>
  <x:pageMargins left="0.7" right="0.7" top="0.75" bottom="0.75" header="0.3" footer="0.3"/>
  <x:drawing xmlns:r="http://schemas.openxmlformats.org/officeDocument/2006/relationships" r:id="Rf4190d661ccb4136"/>
</x:worksheet>
</file>